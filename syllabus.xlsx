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Core Syllabus" sheetId="2" r:id="rId6"/>
    <sheet state="visible" name="Advanced Web" sheetId="3" r:id="rId7"/>
    <sheet state="visible" name="Role Branches" sheetId="4" r:id="rId8"/>
    <sheet state="visible" name="Interview Drills" sheetId="5" r:id="rId9"/>
    <sheet state="visible" name="Course Map" sheetId="6" r:id="rId10"/>
    <sheet state="visible" name="Dashboard" sheetId="7" r:id="rId11"/>
  </sheets>
  <definedNames>
    <definedName hidden="1" localSheetId="1" name="_xlnm._FilterDatabase">'Core Syllabus'!$A$4:$K$1135</definedName>
    <definedName hidden="1" localSheetId="2" name="_xlnm._FilterDatabase">'Advanced Web'!$A$4:$K$62</definedName>
    <definedName hidden="1" localSheetId="3" name="_xlnm._FilterDatabase">'Role Branches'!$A$4:$K$310</definedName>
    <definedName hidden="1" localSheetId="4" name="_xlnm._FilterDatabase">'Interview Drills'!$A$4:$K$66</definedName>
    <definedName hidden="1" localSheetId="5" name="_xlnm._FilterDatabase">'Course Map'!$A$4:$E$37</definedName>
  </definedNames>
  <calcPr/>
</workbook>
</file>

<file path=xl/sharedStrings.xml><?xml version="1.0" encoding="utf-8"?>
<sst xmlns="http://schemas.openxmlformats.org/spreadsheetml/2006/main" count="10456" uniqueCount="2763">
  <si>
    <t>Role Branches  ·  promote a branch when the JD names it</t>
  </si>
  <si>
    <t>Advanced Web  ·  5+ YOE and deep specialisation</t>
  </si>
  <si>
    <t>Core Syllabus  ·  0–1 → 3–5 YOE</t>
  </si>
  <si>
    <t>Frontend Syllabus  ·  HTML → CSS → JavaScript → TypeScript → React</t>
  </si>
  <si>
    <t>Built for Devang · merged from Frontend Masters (now Master.dev), Scrimba's MDN-curated career path, and the MDN Curriculum · 20 September 2026</t>
  </si>
  <si>
    <t>Angular, Vue, Svelte, Next.js, backend, AI, browser platform, graphics. YOE here is branch-relative: a Vue beginner topic is still a beginner topic.</t>
  </si>
  <si>
    <t>Not required at 3 YOE. Post-offer roadmap, plus the ceiling-test topics a senior interviewer may probe for a one-paragraph answer.</t>
  </si>
  <si>
    <t>The main track: HTML → CSS → JavaScript → TypeScript → React → production. Everything here is fair game at 3 YOE. Filter column E for a band, column G for interview frequency.</t>
  </si>
  <si>
    <t>▸ Legend</t>
  </si>
  <si>
    <t>Legend</t>
  </si>
  <si>
    <t>Core 0–5</t>
  </si>
  <si>
    <t>▸ Core 0–5</t>
  </si>
  <si>
    <t>Advanced</t>
  </si>
  <si>
    <t>Branches</t>
  </si>
  <si>
    <t>▸ Branches</t>
  </si>
  <si>
    <t>Drills</t>
  </si>
  <si>
    <t>▸ Advanced</t>
  </si>
  <si>
    <t>Courses</t>
  </si>
  <si>
    <t>Dashboard</t>
  </si>
  <si>
    <t>#</t>
  </si>
  <si>
    <t>Area</t>
  </si>
  <si>
    <t>Section</t>
  </si>
  <si>
    <t>Concept</t>
  </si>
  <si>
    <t>YOE</t>
  </si>
  <si>
    <t>Depth</t>
  </si>
  <si>
    <t>Weight</t>
  </si>
  <si>
    <t>What interviewers actually ask</t>
  </si>
  <si>
    <t>Status</t>
  </si>
  <si>
    <t>Score</t>
  </si>
  <si>
    <t>My notes</t>
  </si>
  <si>
    <t>Part 0 — How the Web Works</t>
  </si>
  <si>
    <t>Client / server model</t>
  </si>
  <si>
    <t>How to read every row</t>
  </si>
  <si>
    <t>0–1</t>
  </si>
  <si>
    <t>B</t>
  </si>
  <si>
    <t>AI Engineering</t>
  </si>
  <si>
    <t>Advanced Web</t>
  </si>
  <si>
    <t>Each row carries three tags: WHEN it starts being asked, HOW WELL you need to know it, and HOW OFTEN it comes up.</t>
  </si>
  <si>
    <t>AI branch</t>
  </si>
  <si>
    <t>A1 — Advanced CSS</t>
  </si>
  <si>
    <t>AI API integration</t>
  </si>
  <si>
    <t>@property typed custom properties</t>
  </si>
  <si>
    <t>1–3</t>
  </si>
  <si>
    <t>3–5</t>
  </si>
  <si>
    <t>YOE band</t>
  </si>
  <si>
    <t>What it means in an interview</t>
  </si>
  <si>
    <t>E</t>
  </si>
  <si>
    <t>Rare</t>
  </si>
  <si>
    <t>Enables animating gradients and custom values</t>
  </si>
  <si>
    <t>Core</t>
  </si>
  <si>
    <t>Common</t>
  </si>
  <si>
    <t>Server-side keys, prompts and messages, structured responses, streaming, failures</t>
  </si>
  <si>
    <t>Foundation. Fair game from an internship interview onward, and still expected at 3 YOE. Fumbling these ends a loop regardless of your years.</t>
  </si>
  <si>
    <t>Draw what happens between typing a URL and seeing pixels</t>
  </si>
  <si>
    <t>Applied professional level. This is the bulk of your interviews right now.</t>
  </si>
  <si>
    <t>Senior-leaning. Not required at 3 YOE, but a demanding panel may probe it as a ceiling test.</t>
  </si>
  <si>
    <t>5+</t>
  </si>
  <si>
    <t>Lead / staff scope. Not a prerequisite for any role you are targeting today.</t>
  </si>
  <si>
    <t>Branch</t>
  </si>
  <si>
    <t>Depends on the job description, not on tenure. A Vue beginner topic is still a beginner topic.</t>
  </si>
  <si>
    <t>AI chat UI</t>
  </si>
  <si>
    <t>What the interviewer is testing</t>
  </si>
  <si>
    <t>Stream rendering, cancellation, partial output, retries, conversation state</t>
  </si>
  <si>
    <t>B — Build</t>
  </si>
  <si>
    <t>DNS resolution</t>
  </si>
  <si>
    <t>Implement it independently, with API documentation open. You do not need to recite the signature.</t>
  </si>
  <si>
    <t>D — Debug</t>
  </si>
  <si>
    <t>Container style queries</t>
  </si>
  <si>
    <t>Build it, explain how it executes, diagnose a broken example, and argue the tradeoffs. The gotcha rows.</t>
  </si>
  <si>
    <t>"What happens when you type google.com" — the full walkthrough</t>
  </si>
  <si>
    <t>Structured output and tool calls</t>
  </si>
  <si>
    <t>Still landing across browsers</t>
  </si>
  <si>
    <t>E — Explain</t>
  </si>
  <si>
    <t>Validate schemas, authorise actions, handle invalid model output</t>
  </si>
  <si>
    <t>Explain it accurately and say when you would reach for it. Implementing its internals is unnecessary.</t>
  </si>
  <si>
    <t>How often it actually comes up</t>
  </si>
  <si>
    <t>URL anatomy (scheme, host, port, path, query, hash)</t>
  </si>
  <si>
    <t>D</t>
  </si>
  <si>
    <t>Parse a URL; what the hash does vs the query string</t>
  </si>
  <si>
    <t>Asked in most interviews at that level. Non-negotiable.</t>
  </si>
  <si>
    <t>View Transitions API ⚑</t>
  </si>
  <si>
    <t>RAG</t>
  </si>
  <si>
    <t>Cross-document and SPA transitions</t>
  </si>
  <si>
    <t>Ingestion, chunks, embeddings, retrieval, citations, evaluation</t>
  </si>
  <si>
    <t>Comes up regularly. Expect it in roughly half your loops.</t>
  </si>
  <si>
    <t>HTTP request/response cycle</t>
  </si>
  <si>
    <t>Occasional. A differentiator, not a gate.</t>
  </si>
  <si>
    <t>Headers, body, method, status line</t>
  </si>
  <si>
    <t>@scope</t>
  </si>
  <si>
    <t>Agents</t>
  </si>
  <si>
    <t>Status → Score  (the dropdown on every sheet writes into this scale)</t>
  </si>
  <si>
    <t>Tool loop, state, stopping conditions, budgets, human approval boundaries</t>
  </si>
  <si>
    <t>What it means</t>
  </si>
  <si>
    <t>Not started</t>
  </si>
  <si>
    <t>Anchor positioning</t>
  </si>
  <si>
    <t>Native tooltip/popover placement</t>
  </si>
  <si>
    <t>I have not learned it.</t>
  </si>
  <si>
    <t>HTTPS / TLS at a high level</t>
  </si>
  <si>
    <t>Context engineering</t>
  </si>
  <si>
    <t>Learning</t>
  </si>
  <si>
    <t>Context selection, token budgets, summarisation, durable state</t>
  </si>
  <si>
    <t>I recognise the term or can repeat a definition.</t>
  </si>
  <si>
    <t>Can build</t>
  </si>
  <si>
    <t>Why HTTPS, what the certificate proves</t>
  </si>
  <si>
    <t>I can complete a familiar example with help.</t>
  </si>
  <si>
    <t>Can debug</t>
  </si>
  <si>
    <t>I can implement it independently with docs and explain the important behaviour.</t>
  </si>
  <si>
    <t>Solid</t>
  </si>
  <si>
    <t>@starting-style &amp; transitioning display</t>
  </si>
  <si>
    <t>I can debug unfamiliar failures, test edge cases and argue the tradeoffs.</t>
  </si>
  <si>
    <t>Target: score 3 on every B row, 4 on every D row, and an accurate one-paragraph answer on every E row. You do not need a 4 on everything to start applying.</t>
  </si>
  <si>
    <t>How to use this workbook</t>
  </si>
  <si>
    <t>MCP</t>
  </si>
  <si>
    <t>Browser engine vs JS engine</t>
  </si>
  <si>
    <t>Tools and resources, client/server integration, authorisation, untrusted content</t>
  </si>
  <si>
    <t>Chromium/Blink vs V8; who owns what</t>
  </si>
  <si>
    <t>•</t>
  </si>
  <si>
    <t>Work down Core Syllabus in order. The sheet is already sorted HTML → CSS → JavaScript → TypeScript → React → production.</t>
  </si>
  <si>
    <t>Set Status from the dropdown in column I. Score fills itself from the table above, and the Dashboard updates.</t>
  </si>
  <si>
    <t>Filter column G to Core when you are short on time. Those rows are the ones that decide most interviews.</t>
  </si>
  <si>
    <t>Popover API</t>
  </si>
  <si>
    <t>Filter column F to D to drill the gotcha rows — the ones where an interviewer follows up with 'why?'.</t>
  </si>
  <si>
    <t>Ignore Advanced Web until you have an offer. It is a roadmap, not a gate.</t>
  </si>
  <si>
    <t>Open Role Branches only when a job description names that stack, then treat that branch as core for that application.</t>
  </si>
  <si>
    <t>Vercel AI SDK</t>
  </si>
  <si>
    <t>Column K is yours. Put the link to the exercise you solved, or the thing you got wrong, so revision has something to bite on.</t>
  </si>
  <si>
    <t>Critical rendering path</t>
  </si>
  <si>
    <t>Model-provider interfaces and streaming UI primitives</t>
  </si>
  <si>
    <t>Scope, honestly</t>
  </si>
  <si>
    <t>HTML → DOM, CSS → CSSOM, Render tree, Layout, Paint, Composite</t>
  </si>
  <si>
    <t>—</t>
  </si>
  <si>
    <t>Every YOE label is an editorial preparation estimate. Neither platform publishes a concept-by-concept YOE scale, and no hiring data was measured. A label is not a promise that a topic cannot be asked earlier — demanding panels ask graph and DP questions of graduates.</t>
  </si>
  <si>
    <t>Houdini (Paint / Layout / Properties APIs)</t>
  </si>
  <si>
    <t>Multimodal AI</t>
  </si>
  <si>
    <t>The catalogue review was thorough at concept level: the full lesson trees of ~45 Master.dev courses via its course API, and Scrimba's complete career-path lesson list decoded from its path data. It is not a certified transcription of every video in either subscription.</t>
  </si>
  <si>
    <t>Depth codes (B/D/E) are defaults derived from how each row behaves in an interview, then hand-checked on the high-value rows. Disagree with one and change it — that is what column F is for.</t>
  </si>
  <si>
    <t>Parser blocking: &lt;script&gt; vs async vs defer</t>
  </si>
  <si>
    <t>Frontend Masters rebranded to Master.dev during this research; frontendmasters.com redirects there. Course titles are as observed on 20 September 2026.</t>
  </si>
  <si>
    <t>Where to put script tags and why</t>
  </si>
  <si>
    <t>Image and audio inputs, generated assets, latency, cost, privacy</t>
  </si>
  <si>
    <t>Version-sensitive areas — React 19, Next.js caching, Angular signals, Svelte runes — age fast. Check the installed version's docs before copying any API from a tutorial.</t>
  </si>
  <si>
    <t>A course named 'Advanced React' can contain ordinary hireable skills. Scrimba's includes routing, performance and auth. Do not defer a whole course because of its title.</t>
  </si>
  <si>
    <t>Web standards bodies (W3C, WHATWG, TC39)</t>
  </si>
  <si>
    <t>AI evaluation and security</t>
  </si>
  <si>
    <t>Only ever asked as trivia</t>
  </si>
  <si>
    <t>Scroll-driven animations (animation-timeline)</t>
  </si>
  <si>
    <t>Prompt injection, data leakage, action authorisation, regression sets, observability</t>
  </si>
  <si>
    <t>Progressive enhancement vs graceful degradation</t>
  </si>
  <si>
    <t>Usually in a11y or "old browser" discussions</t>
  </si>
  <si>
    <t>FLIP technique</t>
  </si>
  <si>
    <t>Local models and harnesses</t>
  </si>
  <si>
    <t>FEM's CSS Animations course; layout animation from first principles</t>
  </si>
  <si>
    <t>Model serving, tool orchestration, reproducible evals, hardware limits</t>
  </si>
  <si>
    <t>Static hosting vs a server vs a CDN</t>
  </si>
  <si>
    <t>Where does your build output actually live</t>
  </si>
  <si>
    <t>Never ship the API key</t>
  </si>
  <si>
    <t>Lerp / pointer-driven reactive animation</t>
  </si>
  <si>
    <t>The one AI mistake that will end an interview — proxy it server-side</t>
  </si>
  <si>
    <t>Part 1 — HTML</t>
  </si>
  <si>
    <t>1.1 Document fundamentals</t>
  </si>
  <si>
    <t>&lt;!DOCTYPE html&gt; and quirks mode</t>
  </si>
  <si>
    <t>What happens if you omit it</t>
  </si>
  <si>
    <t>SVG animation &amp; SMIL; morphing</t>
  </si>
  <si>
    <t>From advanced web</t>
  </si>
  <si>
    <t>Calling LLM APIs from a frontend safely (never ship the key) ⚑</t>
  </si>
  <si>
    <t>Increasingly asked as a "have you touched AI" question</t>
  </si>
  <si>
    <t>Document skeleton: html / head / body</t>
  </si>
  <si>
    <t>Critical CSS extraction &amp; inlining ⚑</t>
  </si>
  <si>
    <t>Streaming responses &amp; token-by-token UI</t>
  </si>
  <si>
    <t>Above-the-fold render optimisation</t>
  </si>
  <si>
    <t>Zero-runtime CSS-in-JS (vanilla-extract, Panda, Linaria)</t>
  </si>
  <si>
    <t>Tags, elements, attributes, void elements</t>
  </si>
  <si>
    <t>Embeddings, vector stores, RAG fundamentals</t>
  </si>
  <si>
    <t>Building a design system from scratch: token pipeline, theming contract, docs site, versioning ⚑</t>
  </si>
  <si>
    <t>FEM: Design Systems v2 — real senior work</t>
  </si>
  <si>
    <t>Nesting rules &amp; valid document structure</t>
  </si>
  <si>
    <t>Spot the invalid markup</t>
  </si>
  <si>
    <t>Agents &amp; tool calling</t>
  </si>
  <si>
    <t>Full RTL / bidirectional layout support</t>
  </si>
  <si>
    <t>Prompt injection &amp; output sanitisation in the UI</t>
  </si>
  <si>
    <t>Colour science: OKLCH, wide gamut, perceptual uniformity</t>
  </si>
  <si>
    <t>Comments</t>
  </si>
  <si>
    <t>Angular</t>
  </si>
  <si>
    <t>Angular branch</t>
  </si>
  <si>
    <t>Application structure</t>
  </si>
  <si>
    <t>CLI setup, bootstrap, components, templates, styles</t>
  </si>
  <si>
    <t>Block vs inline vs inline-block elements</t>
  </si>
  <si>
    <t>Classic: why won't my &lt;span&gt; take a width</t>
  </si>
  <si>
    <t>A2 — Advanced JavaScript &amp; language internals</t>
  </si>
  <si>
    <t>Symbol.toPrimitive &amp; metaprogramming with well-known symbols</t>
  </si>
  <si>
    <t>FEM Hard Parts v3's metaprogramming chapter</t>
  </si>
  <si>
    <t>Template binding</t>
  </si>
  <si>
    <t>Interpolation, property, event and two-way binding</t>
  </si>
  <si>
    <t>Global attributes (id, class, title, hidden, tabindex)</t>
  </si>
  <si>
    <t>Proxy + Reflect for building reactive systems ⚑</t>
  </si>
  <si>
    <t>How Vue 3 and MobX work; a strong "how does reactivity work" answer</t>
  </si>
  <si>
    <t>Template control flow</t>
  </si>
  <si>
    <t>The conditional and loop syntax your project's version supports; stable tracking</t>
  </si>
  <si>
    <t>data-* attributes and dataset</t>
  </si>
  <si>
    <t>Event delegation almost always needs this</t>
  </si>
  <si>
    <t>Async generators &amp; for await…of</t>
  </si>
  <si>
    <t>Streaming data</t>
  </si>
  <si>
    <t>Standalone components</t>
  </si>
  <si>
    <t>Imports and composition; recognise older NgModule projects</t>
  </si>
  <si>
    <t>lang attribute</t>
  </si>
  <si>
    <t>a11y question</t>
  </si>
  <si>
    <t>Iterators/generators for custom control flow &amp; coroutines</t>
  </si>
  <si>
    <t>Component communication</t>
  </si>
  <si>
    <t>Inputs, outputs, model bindings, data ownership</t>
  </si>
  <si>
    <t>Tail calls, engine optimisation, hidden classes, inline caches</t>
  </si>
  <si>
    <t>Directives and pipes</t>
  </si>
  <si>
    <t>FEM: Hardcore JS</t>
  </si>
  <si>
    <t>Character entities &amp; escaping</t>
  </si>
  <si>
    <t>Transform presentation, attach reusable behaviour</t>
  </si>
  <si>
    <t>&amp;amp;, &amp;lt;, &amp;nbsp;</t>
  </si>
  <si>
    <t>Deoptimisation &amp; megamorphic call sites</t>
  </si>
  <si>
    <t>Services</t>
  </si>
  <si>
    <t>Shared logic and data access with explicit boundaries</t>
  </si>
  <si>
    <t>HTML validation</t>
  </si>
  <si>
    <t>Dependency injection</t>
  </si>
  <si>
    <t>1.2 Text &amp; content semantics</t>
  </si>
  <si>
    <t>Providers, injector hierarchy, tokens, scope, lifetime</t>
  </si>
  <si>
    <t>Headings h1–h6 and heading order</t>
  </si>
  <si>
    <t>Why only one h1; why you never skip levels</t>
  </si>
  <si>
    <t>Typed arrays, ArrayBuffer, SharedArrayBuffer, Atomics</t>
  </si>
  <si>
    <t>Lifecycle hooks</t>
  </si>
  <si>
    <t>Init, input changes, view readiness, destruction, cleanup</t>
  </si>
  <si>
    <t>p, br, hr, whitespace collapsing</t>
  </si>
  <si>
    <t>WeakRef / FinalizationRegistry</t>
  </si>
  <si>
    <t>Interview Drills  ·  the delivery layer</t>
  </si>
  <si>
    <t>Signals</t>
  </si>
  <si>
    <t>State, computed values, effects</t>
  </si>
  <si>
    <t>strong vs b, em vs i</t>
  </si>
  <si>
    <t>Semantics vs presentation — a favourite</t>
  </si>
  <si>
    <t>Polyfills, machine-coding rounds, DSA-lite, discussion rounds and portfolio evidence. Knowledge only converts if you can produce it under time pressure.</t>
  </si>
  <si>
    <t>Import maps &amp; import attributes</t>
  </si>
  <si>
    <t>Derived reactive state</t>
  </si>
  <si>
    <t>Dependency tracking, propagation, avoiding redundant effects</t>
  </si>
  <si>
    <t>ul, ol, li, dl/dt/dd</t>
  </si>
  <si>
    <t>Description lists get asked more than you'd expect</t>
  </si>
  <si>
    <t>ReDoS / catastrophic backtracking</t>
  </si>
  <si>
    <t>Linked signals</t>
  </si>
  <si>
    <t>Dependent mutable state where supported; compare with computed</t>
  </si>
  <si>
    <t>Proper tail-recursive &amp; trampolined recursion</t>
  </si>
  <si>
    <t>blockquote, q, cite</t>
  </si>
  <si>
    <t>▸ Drills</t>
  </si>
  <si>
    <t>RxJS observables</t>
  </si>
  <si>
    <t>Subscribe, completion and error, cold vs hot, teardown</t>
  </si>
  <si>
    <t>Monads, functors, transducers, lenses</t>
  </si>
  <si>
    <t>FEM: Functional JavaScript v3</t>
  </si>
  <si>
    <t>code, pre, kbd, samp</t>
  </si>
  <si>
    <t>Part 13 — Interview-Specific Practice</t>
  </si>
  <si>
    <t>13.1 Polyfills &amp; "implement it yourself"</t>
  </si>
  <si>
    <t>Array.prototype.map / filter / reduce / forEach</t>
  </si>
  <si>
    <t>RxJS operators</t>
  </si>
  <si>
    <t>map, filter, tap, switchMap, mergeMap, concatMap, exhaustMap</t>
  </si>
  <si>
    <t>Algebraic data types &amp; pattern matching in JS</t>
  </si>
  <si>
    <t>abbr, time, mark, small, sub, sup</t>
  </si>
  <si>
    <t>Stream timing operators</t>
  </si>
  <si>
    <t>span and div as the non-semantic fallbacks</t>
  </si>
  <si>
    <t>Writing a parser / interpreter / compiler ⚑</t>
  </si>
  <si>
    <t>debounceTime, distinctUntilChanged, combineLatest, forkJoin</t>
  </si>
  <si>
    <t>"When do you reach for a div"</t>
  </si>
  <si>
    <t>FEM: Building Your Own Programming Language</t>
  </si>
  <si>
    <t>Function.prototype.call / apply / bind</t>
  </si>
  <si>
    <t>details / summary (native disclosure)</t>
  </si>
  <si>
    <t>Build an accordion without JS</t>
  </si>
  <si>
    <t>Stream errors and cleanup</t>
  </si>
  <si>
    <t>catchError, finalize, retry policy, async pipe, lifecycle-safe subscriptions</t>
  </si>
  <si>
    <t>Promise.all / allSettled / race / any</t>
  </si>
  <si>
    <t>WebAssembly: what it is, when it wins, JS interop ⚑</t>
  </si>
  <si>
    <t>Awareness answer is enough</t>
  </si>
  <si>
    <t>dialog element + showModal()</t>
  </si>
  <si>
    <t>Modals without a library</t>
  </si>
  <si>
    <t>A minimal Promise class</t>
  </si>
  <si>
    <t>Signal / observable interop</t>
  </si>
  <si>
    <t>FEM's "Promise: basic logic → settling → execution" sequence</t>
  </si>
  <si>
    <t>Synchronous state vs async streams — pick per case</t>
  </si>
  <si>
    <t>A3 — Advanced React</t>
  </si>
  <si>
    <t>useSyncExternalStore ⚑</t>
  </si>
  <si>
    <t>1.3 Links &amp; navigation</t>
  </si>
  <si>
    <t>How Zustand/Redux subscribe safely under concurrent rendering</t>
  </si>
  <si>
    <t>&lt;a href&gt;, absolute vs relative vs root-relative paths</t>
  </si>
  <si>
    <t>debounce / throttle</t>
  </si>
  <si>
    <t>Router</t>
  </si>
  <si>
    <t>Fragment links / anchors</t>
  </si>
  <si>
    <t>Routes, outlet, links, nested and lazy routes, params, query params</t>
  </si>
  <si>
    <t>deepClone / deepEqual</t>
  </si>
  <si>
    <t>useImperativeHandle</t>
  </si>
  <si>
    <t>target="_blank" + rel="noopener noreferrer"</t>
  </si>
  <si>
    <t>flatten(arr, depth)</t>
  </si>
  <si>
    <t>The security question. window.opener hijacking</t>
  </si>
  <si>
    <t>Guards and resolvers</t>
  </si>
  <si>
    <t>Navigation control and data coordination; server still authorises</t>
  </si>
  <si>
    <t>useDebugValue</t>
  </si>
  <si>
    <t>rel values: nofollow, canonical, preload, prefetch</t>
  </si>
  <si>
    <t>curry / pipe / compose / memoize</t>
  </si>
  <si>
    <t>SEO + perf overlap</t>
  </si>
  <si>
    <t>React Fiber internals: work loop, lanes, priority, time slicing ⚑</t>
  </si>
  <si>
    <t>The deep answer behind "concurrent rendering"</t>
  </si>
  <si>
    <t>mailto: / tel:</t>
  </si>
  <si>
    <t>new / instanceof / Object.create</t>
  </si>
  <si>
    <t>HttpClient</t>
  </si>
  <si>
    <t>Typed responses, methods, failures, testable services</t>
  </si>
  <si>
    <t>groupBy, chunk, zip</t>
  </si>
  <si>
    <t>download attribute</t>
  </si>
  <si>
    <t>Interceptors</t>
  </si>
  <si>
    <t>Common request behaviour, auth, avoiding retry loops</t>
  </si>
  <si>
    <t>The reconciler in depth; writing a custom renderer</t>
  </si>
  <si>
    <t>Event emitter (on/off/emit)</t>
  </si>
  <si>
    <t>Descriptive link text (no "click here")</t>
  </si>
  <si>
    <t>a11y + SEO</t>
  </si>
  <si>
    <t>typeof-style detectType</t>
  </si>
  <si>
    <t>FEM opens its interview course with it</t>
  </si>
  <si>
    <t>Reactive forms</t>
  </si>
  <si>
    <t>Controls, groups, arrays, validation, submission lifecycle</t>
  </si>
  <si>
    <t>1.4 Images &amp; media</t>
  </si>
  <si>
    <t>&lt;img&gt; with src and meaningful alt</t>
  </si>
  <si>
    <t>React Server Components from scratch; the Flight protocol ⚑</t>
  </si>
  <si>
    <t>When alt="" is the *correct* answer</t>
  </si>
  <si>
    <t>FEM: Intermediate React v6 builds it by hand</t>
  </si>
  <si>
    <t>13.2 Machine coding / component building (45–90 min rounds)</t>
  </si>
  <si>
    <t>Todo list with filters + persistence</t>
  </si>
  <si>
    <t>width/height attributes to reserve space</t>
  </si>
  <si>
    <t>Template-driven forms</t>
  </si>
  <si>
    <t>Directly tied to CLS</t>
  </si>
  <si>
    <t>SSR from scratch (renderToPipeableStream, hydration internals)</t>
  </si>
  <si>
    <t>Recognise the alternative and choose by complexity</t>
  </si>
  <si>
    <t>Accordion</t>
  </si>
  <si>
    <t>loading="lazy" / decoding="async"</t>
  </si>
  <si>
    <t>First thing asked in any image-perf question</t>
  </si>
  <si>
    <t>Tabs</t>
  </si>
  <si>
    <t>Selective hydration &amp; streaming SSR</t>
  </si>
  <si>
    <t>Signal forms</t>
  </si>
  <si>
    <t>Check release support and stability before adopting</t>
  </si>
  <si>
    <t>fetchpriority</t>
  </si>
  <si>
    <t>LCP image tuning</t>
  </si>
  <si>
    <t>Islands architecture ⚑</t>
  </si>
  <si>
    <t>Astro; vs microfrontends</t>
  </si>
  <si>
    <t>Modal / dialog (with focus trap + Escape)</t>
  </si>
  <si>
    <t>Change detection</t>
  </si>
  <si>
    <t>Default vs OnPush, identity, signals, trigger conditions</t>
  </si>
  <si>
    <t>srcset + sizes (resolution &amp; width switching)</t>
  </si>
  <si>
    <t>Responsive images — asked constantly</t>
  </si>
  <si>
    <t>Suspense internals &amp; cache primitives</t>
  </si>
  <si>
    <t>Star rating</t>
  </si>
  <si>
    <t>Both FEM and Scrimba use it</t>
  </si>
  <si>
    <t>Content projection and queries</t>
  </si>
  <si>
    <t>&lt;picture&gt; + &lt;source&gt; (art direction, format fallback)</t>
  </si>
  <si>
    <t>ng-content, template refs, view and content queries</t>
  </si>
  <si>
    <t>Serving WebP/AVIF with a JPEG fallback</t>
  </si>
  <si>
    <t>The React Compiler's memoization model</t>
  </si>
  <si>
    <t>Autocomplete / typeahead with debounce + cancellation</t>
  </si>
  <si>
    <t>The most common single task</t>
  </si>
  <si>
    <t>Image formats: JPEG / PNG / WebP / AVIF / SVG</t>
  </si>
  <si>
    <t>Concurrent-safe external stores &amp; tearing</t>
  </si>
  <si>
    <t>Which one and why</t>
  </si>
  <si>
    <t>Angular testing</t>
  </si>
  <si>
    <t>TestBed, component and service tests, dependency replacement, HTTP and router</t>
  </si>
  <si>
    <t>Infinite scroll (IntersectionObserver)</t>
  </si>
  <si>
    <t>Inline SVG vs &lt;img src="*.svg"&gt; vs sprite</t>
  </si>
  <si>
    <t>Trade-offs: styling, caching, request count</t>
  </si>
  <si>
    <t>XState / statecharts in React at scale ⚑</t>
  </si>
  <si>
    <t>FEM: XState &amp; State Management at Scale</t>
  </si>
  <si>
    <t>Angular accessibility</t>
  </si>
  <si>
    <t>Native semantics, keyboard interaction, CDK utilities</t>
  </si>
  <si>
    <t>Pagination</t>
  </si>
  <si>
    <t>&lt;figure&gt; / &lt;figcaption&gt;</t>
  </si>
  <si>
    <t>Advanced Redux: custom middleware, enhancers, entity adapters, typed store</t>
  </si>
  <si>
    <t>&lt;video&gt; / &lt;audio&gt;, controls, poster, preload</t>
  </si>
  <si>
    <t>Data table: sort, filter, paginate</t>
  </si>
  <si>
    <t>NgRx</t>
  </si>
  <si>
    <t>Actions, reducers, selectors, effects; signal-store alternatives</t>
  </si>
  <si>
    <t>Building your own component library + publishing to npm ⚑</t>
  </si>
  <si>
    <t>Realistic next step for you</t>
  </si>
  <si>
    <t>Carousel / image gallery</t>
  </si>
  <si>
    <t>&lt;track&gt; for captions</t>
  </si>
  <si>
    <t>a11y</t>
  </si>
  <si>
    <t>Enterprise NgRx architecture</t>
  </si>
  <si>
    <t>Advanced generic/polymorphic component typing</t>
  </si>
  <si>
    <t>Feature stores, effect isolation, entity modelling, debugging at scale</t>
  </si>
  <si>
    <t>Toast / notification system</t>
  </si>
  <si>
    <t>&lt;iframe&gt;, sandbox, loading, allow</t>
  </si>
  <si>
    <t>Embedding third parties safely</t>
  </si>
  <si>
    <t>React Native / Expo in depth</t>
  </si>
  <si>
    <t>&lt;canvas&gt; basics</t>
  </si>
  <si>
    <t>Only if the role touches charts/games</t>
  </si>
  <si>
    <t>Zoneless rendering</t>
  </si>
  <si>
    <t>Scheduling, reactivity, interop, version-aware rollout</t>
  </si>
  <si>
    <t>A4 — Architecture &amp; scale</t>
  </si>
  <si>
    <t>Nested comments (recursive rendering)</t>
  </si>
  <si>
    <t>Cross-microfrontend communication &amp; shared dependencies</t>
  </si>
  <si>
    <t>1.5 Tables</t>
  </si>
  <si>
    <t>table, tr, td, th</t>
  </si>
  <si>
    <t>Angular SSR and hydration</t>
  </si>
  <si>
    <t>Server/client state consistency, browser API boundaries, performance</t>
  </si>
  <si>
    <t>thead, tbody, tfoot</t>
  </si>
  <si>
    <t>Plugin architectures &amp; extensibility</t>
  </si>
  <si>
    <t>OTP input</t>
  </si>
  <si>
    <t>caption, scope, headers</t>
  </si>
  <si>
    <t>Accessible data tables</t>
  </si>
  <si>
    <t>Deferral and performance</t>
  </si>
  <si>
    <t>Domain modelling &amp; DDD for frontends</t>
  </si>
  <si>
    <t>Route and component loading, incremental rendering, profiling</t>
  </si>
  <si>
    <t>Progress bar / stepper / wizard</t>
  </si>
  <si>
    <t>colspan / rowspan</t>
  </si>
  <si>
    <t>A6 — Computer science &amp; algorithms</t>
  </si>
  <si>
    <t>Path finding &amp; spatial data structures</t>
  </si>
  <si>
    <t>Backend &amp; Infra</t>
  </si>
  <si>
    <t>Full-stack branch</t>
  </si>
  <si>
    <t>Node foundations</t>
  </si>
  <si>
    <t>Process, environment, modules, files, paths, async I/O</t>
  </si>
  <si>
    <t>Tooltip with positioning</t>
  </si>
  <si>
    <t>"Never use tables for layout" — and why</t>
  </si>
  <si>
    <t>Concurrency models &amp; lock-free structures</t>
  </si>
  <si>
    <t>HTTP servers</t>
  </si>
  <si>
    <t>Shopping cart</t>
  </si>
  <si>
    <t>Requests and responses, routing, headers, body parsing, status codes</t>
  </si>
  <si>
    <t>1.6 Forms &amp; inputs</t>
  </si>
  <si>
    <t>&lt;form&gt;, action, method, default submit behaviour</t>
  </si>
  <si>
    <t>Why the page reloads and how to stop it</t>
  </si>
  <si>
    <t>A8 — Advanced testing &amp; quality</t>
  </si>
  <si>
    <t>Contract testing between frontend and backend</t>
  </si>
  <si>
    <t>&lt;input&gt; types: text, email, number, password, date, file, range, color, search, url, tel</t>
  </si>
  <si>
    <t>Express</t>
  </si>
  <si>
    <t>Middleware order, routing, validation, centralised errors, API tests</t>
  </si>
  <si>
    <t>Property-based / fuzz testing</t>
  </si>
  <si>
    <t>Calculator</t>
  </si>
  <si>
    <t>Radio buttons: shared name, checked</t>
  </si>
  <si>
    <t>Grouping is the gotcha</t>
  </si>
  <si>
    <t>Mutation testing</t>
  </si>
  <si>
    <t>Stopwatch / countdown timer</t>
  </si>
  <si>
    <t>Checkboxes vs radios</t>
  </si>
  <si>
    <t>NestJS</t>
  </si>
  <si>
    <t>Modules, controllers, providers, DI, pipes, guards, interceptors</t>
  </si>
  <si>
    <t>Load testing frontend-facing services</t>
  </si>
  <si>
    <t>Drag &amp; drop list</t>
  </si>
  <si>
    <t>&lt;label&gt; — wrapping vs for/id</t>
  </si>
  <si>
    <t>REST API design</t>
  </si>
  <si>
    <t>Resource contracts, pagination, filtering, validation, error conventions</t>
  </si>
  <si>
    <t>a11y gate question</t>
  </si>
  <si>
    <t>Folder tree / file explorer</t>
  </si>
  <si>
    <t>&lt;textarea&gt;, &lt;select&gt;, &lt;option&gt;, &lt;optgroup&gt;</t>
  </si>
  <si>
    <t>SQL</t>
  </si>
  <si>
    <t>SELECT/INSERT/UPDATE/DELETE, joins, aggregation, grouping, subqueries</t>
  </si>
  <si>
    <t>Chat UI with typing effect</t>
  </si>
  <si>
    <t>13.3 DSA-lite (what frontend rounds actually ask)</t>
  </si>
  <si>
    <t>&lt;fieldset&gt; + &lt;legend&gt;</t>
  </si>
  <si>
    <t>Big-O: time &amp; space</t>
  </si>
  <si>
    <t>Grouping radios accessibly</t>
  </si>
  <si>
    <t>Enough to justify a choice</t>
  </si>
  <si>
    <t>Relational modelling</t>
  </si>
  <si>
    <t>Keys, constraints, relationships, normalisation, migrations</t>
  </si>
  <si>
    <t>Array &amp; string manipulation</t>
  </si>
  <si>
    <t>Anagram, palindrome, reverse, frequency count</t>
  </si>
  <si>
    <t>&lt;button type&gt;: submit / button / reset</t>
  </si>
  <si>
    <t>Classic bug: button inside a form reloads the page</t>
  </si>
  <si>
    <t>Transactions</t>
  </si>
  <si>
    <t>Hash maps for counting &amp; lookup</t>
  </si>
  <si>
    <t>Atomic operations, rollback, isolation, concurrent change</t>
  </si>
  <si>
    <t>The single most useful technique here</t>
  </si>
  <si>
    <t>Two pointers / sliding window</t>
  </si>
  <si>
    <t>name vs id vs value</t>
  </si>
  <si>
    <t>What actually gets submitted</t>
  </si>
  <si>
    <t>Database performance</t>
  </si>
  <si>
    <t>Indexes, query plans, pagination, the N+1 problem</t>
  </si>
  <si>
    <t>Sorting &amp; custom comparators</t>
  </si>
  <si>
    <t>placeholder is not a label</t>
  </si>
  <si>
    <t>ORM / query builder</t>
  </si>
  <si>
    <t>Prisma or Drizzle: schema, migrations, relations, generated queries</t>
  </si>
  <si>
    <t>Recursion &amp; tree traversal</t>
  </si>
  <si>
    <t>Directly applicable to nested-comment / folder-tree tasks</t>
  </si>
  <si>
    <t>Validation attributes: required, min/max, minlength/maxlength, pattern, step</t>
  </si>
  <si>
    <t>Native validation before you reach for a library</t>
  </si>
  <si>
    <t>Set operations &amp; dedupe</t>
  </si>
  <si>
    <t>Authentication backend</t>
  </si>
  <si>
    <t>Constraint Validation API (checkValidity, setCustomValidity, :invalid)</t>
  </si>
  <si>
    <t>Password hashing, sessions, verification, reset, expiry, rate limiting</t>
  </si>
  <si>
    <t>Custom error messages without JS libraries</t>
  </si>
  <si>
    <t>Object/array transformation (group, flatten, pivot)</t>
  </si>
  <si>
    <t>Scrimba's whole challenge set is this</t>
  </si>
  <si>
    <t>FormData — construction, get, getAll, entries, Object.fromEntries</t>
  </si>
  <si>
    <t>Modern form handling; React 19 form actions lean on it</t>
  </si>
  <si>
    <t>Stack/queue as arrays</t>
  </si>
  <si>
    <t>Authorisation backend</t>
  </si>
  <si>
    <t>Per-resource checks, roles and permissions, tenancy, least privilege</t>
  </si>
  <si>
    <t>Topological sort / dependency graph</t>
  </si>
  <si>
    <t>autocomplete / autofocus</t>
  </si>
  <si>
    <t>→ Advanced Web</t>
  </si>
  <si>
    <t>MongoDB / document models</t>
  </si>
  <si>
    <t>Documents, queries, indexes, embedding vs referencing</t>
  </si>
  <si>
    <t>13.4 Discussion rounds</t>
  </si>
  <si>
    <t>Walk through a project you built: problem, decisions, trade-offs</t>
  </si>
  <si>
    <t>The highest-leverage thing to prepare</t>
  </si>
  <si>
    <t>disabled vs readonly</t>
  </si>
  <si>
    <t>Disabled fields aren't submitted — the gotcha</t>
  </si>
  <si>
    <t>Why you made a specific technical choice (and what you'd change)</t>
  </si>
  <si>
    <t>Redis</t>
  </si>
  <si>
    <t>enctype / multipart/form-data</t>
  </si>
  <si>
    <t>Caching, expiry, atomic operations, invalidation</t>
  </si>
  <si>
    <t>File upload</t>
  </si>
  <si>
    <t>Debugging methodology</t>
  </si>
  <si>
    <t>"A user reports the page is slow — what do you do?"</t>
  </si>
  <si>
    <t>&lt;output&gt;, &lt;progress&gt;, &lt;meter&gt;, &lt;datalist&gt;</t>
  </si>
  <si>
    <t>Code review: what you look for</t>
  </si>
  <si>
    <t>GraphQL servers</t>
  </si>
  <si>
    <t>Schema and resolvers, authorisation, batching, pagination, query limits</t>
  </si>
  <si>
    <t>Working with designers / PMs / QA</t>
  </si>
  <si>
    <t>1.7 Head, metadata &amp; SEO</t>
  </si>
  <si>
    <t>&lt;title&gt;</t>
  </si>
  <si>
    <t>Background jobs</t>
  </si>
  <si>
    <t>Queues, retries, idempotency, dead letters, progress feedback</t>
  </si>
  <si>
    <t>Git workflow on your team</t>
  </si>
  <si>
    <t>&lt;meta charset="utf-8"&gt;</t>
  </si>
  <si>
    <t>Agile / Scrum ceremonies</t>
  </si>
  <si>
    <t>Object storage</t>
  </si>
  <si>
    <t>Uploads, signed access, content checks, lifecycle</t>
  </si>
  <si>
    <t>&lt;meta name="viewport"&gt;</t>
  </si>
  <si>
    <t>Handling disagreement and feedback</t>
  </si>
  <si>
    <t>Why responsive CSS does nothing on mobile without it</t>
  </si>
  <si>
    <t>Frontend system design (lite): component hierarchy, state placement, API shape, folder structure, error/loading states</t>
  </si>
  <si>
    <t>The 3-YOE version of system design. Design a news feed / e-commerce listing / dashboard</t>
  </si>
  <si>
    <t>&lt;meta name="description"&gt;</t>
  </si>
  <si>
    <t>Node streams</t>
  </si>
  <si>
    <t>Readable, writable and transform streams; backpressure and error propagation</t>
  </si>
  <si>
    <t>Questions to ask the interviewer</t>
  </si>
  <si>
    <t>Scrimba lists it explicitly</t>
  </si>
  <si>
    <t>Open Graph / Twitter card tags</t>
  </si>
  <si>
    <t>Node runtime internals</t>
  </si>
  <si>
    <t>libuv, event-loop phases, thread pool, workers, CPU-bound work</t>
  </si>
  <si>
    <t>Part 32 — Projects &amp; Evidence</t>
  </si>
  <si>
    <t>Portfolio proof</t>
  </si>
  <si>
    <t>Responsive semantic site</t>
  </si>
  <si>
    <t>&lt;link rel="stylesheet"&gt;, preload, preconnect, dns-prefetch, prefetch</t>
  </si>
  <si>
    <t>Resource hints — heavily asked in perf rounds</t>
  </si>
  <si>
    <t>From a mockup: forms, accessible nav, narrow and wide layouts</t>
  </si>
  <si>
    <t>Linux and server basics</t>
  </si>
  <si>
    <t>Users and permissions, processes, logs, SSH, ports, services</t>
  </si>
  <si>
    <t>Favicons &amp; touch icons</t>
  </si>
  <si>
    <t>Vanilla-JS API application</t>
  </si>
  <si>
    <t>Search/filter, fetch, loading and errors, persisted preferences, modular code</t>
  </si>
  <si>
    <t>Docker</t>
  </si>
  <si>
    <t>React + TypeScript application</t>
  </si>
  <si>
    <t>Images, containers, volumes, environment, networking, local orchestration</t>
  </si>
  <si>
    <t>Web app manifest &amp; "add to home screen"</t>
  </si>
  <si>
    <t>Routing, forms, server data, auth UI, tests, deployment</t>
  </si>
  <si>
    <t>Scrimba covers it; interviews rarely do</t>
  </si>
  <si>
    <t>Debugging exercise</t>
  </si>
  <si>
    <t>Diagnose a stale closure, a mutation, a key bug, an effect dependency or a network race</t>
  </si>
  <si>
    <t>Canonical URLs</t>
  </si>
  <si>
    <t>Cloud deployment</t>
  </si>
  <si>
    <t>SEO</t>
  </si>
  <si>
    <t>Compute, static assets, managed DB, secrets, networking, logs</t>
  </si>
  <si>
    <t>Performance exercise</t>
  </si>
  <si>
    <t>Record a slow interaction, fix the cause, show the evidence</t>
  </si>
  <si>
    <t>robots meta &amp; sitemap.xml</t>
  </si>
  <si>
    <t>Test exercise</t>
  </si>
  <si>
    <t>CI/CD configuration</t>
  </si>
  <si>
    <t>Meaningful tests for success, failure and one important edge case</t>
  </si>
  <si>
    <t>Build, test and release pipeline, artifacts, environments, rollback</t>
  </si>
  <si>
    <t>Structured data / JSON-LD</t>
  </si>
  <si>
    <t>Project walkthrough</t>
  </si>
  <si>
    <t>Problem, your contribution, architecture, a bug, a tradeoff, a measured outcome</t>
  </si>
  <si>
    <t>Infrastructure as code</t>
  </si>
  <si>
    <t>Repeatable provisioning, state, environment separation, change review</t>
  </si>
  <si>
    <t>Collaboration stories</t>
  </si>
  <si>
    <t>Review feedback, a changed requirement, a disagreement, learning from a defect</t>
  </si>
  <si>
    <t>1.8 Semantic structure</t>
  </si>
  <si>
    <t>header, nav, main, section, article, aside, footer</t>
  </si>
  <si>
    <t>Asked in nearly every frontend interview. Know section vs div vs article</t>
  </si>
  <si>
    <t>Independent readiness check</t>
  </si>
  <si>
    <t>Build a new feature with docs but no step-by-step solution to follow</t>
  </si>
  <si>
    <t>Kubernetes</t>
  </si>
  <si>
    <t>Deployments, services, config and secrets, probes, scaling, cost</t>
  </si>
  <si>
    <t>Landmark roles &amp; how screen readers navigate them</t>
  </si>
  <si>
    <t>Backend system design</t>
  </si>
  <si>
    <t>Load balancing, caches, queues, consistency, availability, failure handling</t>
  </si>
  <si>
    <t>Document outline / sectioning</t>
  </si>
  <si>
    <t>One &lt;main&gt; per page</t>
  </si>
  <si>
    <t>Distributed systems ops</t>
  </si>
  <si>
    <t>Capacity, replication, partitioning, incident response, disaster recovery</t>
  </si>
  <si>
    <t>Semantic vs non-semantic — the "why"</t>
  </si>
  <si>
    <t>a11y, SEO, maintainability, default behaviour</t>
  </si>
  <si>
    <t>Other backend languages</t>
  </si>
  <si>
    <t>Python, Go, Rust, Java, Ruby — separate tracks, not JS prerequisites</t>
  </si>
  <si>
    <t>1.9 Accessibility inside HTML</t>
  </si>
  <si>
    <t>Native elements come with behaviour for free</t>
  </si>
  <si>
    <t>"A div is not a button" — role, focusability, Enter/Space, in one sentence</t>
  </si>
  <si>
    <t>Focus order follows DOM order</t>
  </si>
  <si>
    <t>Node.js runtime: event loop phases, streams, buffers, libuv ⚑</t>
  </si>
  <si>
    <t>tabindex="0" vs -1 vs positive (never)</t>
  </si>
  <si>
    <t>Why positive tabindex is an anti-pattern</t>
  </si>
  <si>
    <t>Skip navigation link</t>
  </si>
  <si>
    <t>Express: routing, middleware, error handling</t>
  </si>
  <si>
    <t>alt text decision tree (informative / decorative / functional)</t>
  </si>
  <si>
    <t>Screen-reader-only text (the .sr-only class)</t>
  </si>
  <si>
    <t>Why display:none breaks it</t>
  </si>
  <si>
    <t>REST API design &amp; versioning at depth</t>
  </si>
  <si>
    <t>dir attribute and directional text</t>
  </si>
  <si>
    <t>Pairs with logical properties for RTL work</t>
  </si>
  <si>
    <t>MIME / content types</t>
  </si>
  <si>
    <t>SQL &amp; relational modelling; joins, indexes, transactions ⚑</t>
  </si>
  <si>
    <t>Why a wrong server Content-Type silently breaks a stylesheet or module script</t>
  </si>
  <si>
    <t>Input ergonomics</t>
  </si>
  <si>
    <t>autocomplete tokens, inputmode, the right mobile keyboard, password-manager compatibility</t>
  </si>
  <si>
    <t>Postgres / Supabase; ORMs (Prisma, Drizzle)</t>
  </si>
  <si>
    <t>Successful form controls</t>
  </si>
  <si>
    <t>Which controls actually get submitted, and why a disabled field is not one</t>
  </si>
  <si>
    <t>Resilient forms</t>
  </si>
  <si>
    <t>Enter-to-submit, pending state, duplicate-submit prevention, validation timing, retry</t>
  </si>
  <si>
    <t>NoSQL / MongoDB; when document stores fit</t>
  </si>
  <si>
    <t>File input behaviour</t>
  </si>
  <si>
    <t>accept filters, size checks, preview lifecycle; the server must still verify real content</t>
  </si>
  <si>
    <t>Course Map  ·  where to actually study each part</t>
  </si>
  <si>
    <t>Autoplay restrictions</t>
  </si>
  <si>
    <t>Why muted autoplay works and unmuted does not</t>
  </si>
  <si>
    <t>Auth implementation server-side: sessions, hashing + salt, refresh rotation</t>
  </si>
  <si>
    <t>Scrimba for interactive reps, Master.dev for depth. You do not need both versions of the same topic — pick one and build something.</t>
  </si>
  <si>
    <t>Browser error recovery</t>
  </si>
  <si>
    <t>Invalid nesting and duplicate IDs produce a DOM you did not write</t>
  </si>
  <si>
    <t>Part 2 — CSS</t>
  </si>
  <si>
    <t>2.1 Syntax &amp; application</t>
  </si>
  <si>
    <t>Rule anatomy: selector, declaration, property, value</t>
  </si>
  <si>
    <t>GraphQL: schema, resolvers, N+1, DataLoader</t>
  </si>
  <si>
    <t>Inline vs &lt;style&gt; vs external stylesheet</t>
  </si>
  <si>
    <t>@import and why it's a perf trap</t>
  </si>
  <si>
    <t>Serial request waterfall</t>
  </si>
  <si>
    <t>tRPC / end-to-end type safety ⚑</t>
  </si>
  <si>
    <t>▸ Courses</t>
  </si>
  <si>
    <t>Shorthand vs longhand properties</t>
  </si>
  <si>
    <t>Syllabus area</t>
  </si>
  <si>
    <t>The shorthand reset gotcha (background wiping background-color)</t>
  </si>
  <si>
    <t>Band</t>
  </si>
  <si>
    <t>Scrimba anchor</t>
  </si>
  <si>
    <t>Master.dev (Frontend Masters) anchor</t>
  </si>
  <si>
    <t>How to combine them</t>
  </si>
  <si>
    <t>HTML &amp; CSS basics</t>
  </si>
  <si>
    <t>Comments, vendor prefixes</t>
  </si>
  <si>
    <t>Caching layers: Redis, CDN, application cache</t>
  </si>
  <si>
    <t>Learn HTML and CSS; Frontend Path: Web dev basics</t>
  </si>
  <si>
    <t>Complete Intro to Web Development v3; Getting Started with CSS v2</t>
  </si>
  <si>
    <t>One introductory sequence, then build a page nobody walked you through.</t>
  </si>
  <si>
    <t>At-rules overview: @media, @supports, @font-face, @keyframes, @layer, @container</t>
  </si>
  <si>
    <t>Semantic HTML &amp; a11y</t>
  </si>
  <si>
    <t>0–3</t>
  </si>
  <si>
    <t>Learn Accessible Web Design; Accessible development</t>
  </si>
  <si>
    <t>Website Accessibility v3</t>
  </si>
  <si>
    <t>Reinforce semantics, then add keyboard and screen-reader passes to your own work.</t>
  </si>
  <si>
    <t>CSS fundamentals</t>
  </si>
  <si>
    <t>Essential CSS concepts; Learn CSS Variables</t>
  </si>
  <si>
    <t>Modern CSS Fundamentals</t>
  </si>
  <si>
    <t>Skip repeated basics the moment you can debug the cascade and the box model.</t>
  </si>
  <si>
    <t>Layout &amp; responsive</t>
  </si>
  <si>
    <t>Learn Flexbox; Learn CSS Grid; Learn Responsive Web Design</t>
  </si>
  <si>
    <t>Ultimate CSS Grid &amp; Layout Techniques v3; Practical CSS Layouts</t>
  </si>
  <si>
    <t>Use the newer course for subgrid and container queries.</t>
  </si>
  <si>
    <t>Visual implementation</t>
  </si>
  <si>
    <t>Learn UI Design; Build Websites with Figma, HTML and CSS</t>
  </si>
  <si>
    <t>Professional CSS: Build a Website from Scratch; Design for Developers</t>
  </si>
  <si>
    <t>@supports feature queries</t>
  </si>
  <si>
    <t>Learn to read a design, implement it, then compare side by side.</t>
  </si>
  <si>
    <t>CSS motion</t>
  </si>
  <si>
    <t>Progressive enhancement</t>
  </si>
  <si>
    <t>Message queues &amp; background jobs</t>
  </si>
  <si>
    <t>Learn CSS Animations</t>
  </si>
  <si>
    <t>CSS Animations and Transitions; SVG Essentials &amp; Animation v2</t>
  </si>
  <si>
    <t>Transitions are core; sophisticated motion is a branch.</t>
  </si>
  <si>
    <t>Utility / preprocessor CSS</t>
  </si>
  <si>
    <t>Learn Tailwind CSS; Learn Bootstrap</t>
  </si>
  <si>
    <t>Tailwind CSS 4+; Sass Fundamentals</t>
  </si>
  <si>
    <t>Learn whichever one the target team actually uses.</t>
  </si>
  <si>
    <t>JavaScript basics</t>
  </si>
  <si>
    <t>Learn JavaScript; Making websites interactive</t>
  </si>
  <si>
    <t>Getting Started with JavaScript v3; JavaScript: From First Steps to Professional</t>
  </si>
  <si>
    <t>One thorough first pass, then practise without a tutorial open.</t>
  </si>
  <si>
    <t>Applied JavaScript</t>
  </si>
  <si>
    <t>Advanced JavaScript; The Tricky Parts of JavaScript</t>
  </si>
  <si>
    <t>JavaScript: The Hard Parts v3; Deep JavaScript Foundations v3</t>
  </si>
  <si>
    <t>This is where closures, this, prototypes, coercion and async ordering get precise.</t>
  </si>
  <si>
    <t>DOM &amp; APIs</t>
  </si>
  <si>
    <t>Working with APIs; APIs and Async JavaScript</t>
  </si>
  <si>
    <t>Vanilla JS: You Might Not Need a Framework</t>
  </si>
  <si>
    <t>Build one app with cancellation, failure states and real cleanup.</t>
  </si>
  <si>
    <t>Code quality</t>
  </si>
  <si>
    <t>2.2 Selectors</t>
  </si>
  <si>
    <t>Type, class, ID, universal selectors</t>
  </si>
  <si>
    <t>Introduction to Clean Code; Code reviews</t>
  </si>
  <si>
    <t>Functional JavaScript First Steps v2; A Tour of JS &amp; React Patterns</t>
  </si>
  <si>
    <t>Apply three patterns to your own code instead of memorising twenty names.</t>
  </si>
  <si>
    <t>Tooling &amp; Git</t>
  </si>
  <si>
    <t>Command Line Basics; Learn Git and GitHub; Intro to Vite</t>
  </si>
  <si>
    <t>Everything You'll Need to Know About Git; Build Tools &amp; Testing path</t>
  </si>
  <si>
    <t>Everyday workflow first. Tool authoring is years away and optional.</t>
  </si>
  <si>
    <t>TypeScript</t>
  </si>
  <si>
    <t>Learn TypeScript</t>
  </si>
  <si>
    <t>TypeScript 5+ Fundamentals v4; React and TypeScript v3</t>
  </si>
  <si>
    <t>Follow it immediately by typing your own API responses and component props.</t>
  </si>
  <si>
    <t>React fundamentals</t>
  </si>
  <si>
    <t>Learn React; React basics</t>
  </si>
  <si>
    <t>Complete Intro to React v9</t>
  </si>
  <si>
    <t>One main course. Use the second only to clarify a specific confusion.</t>
  </si>
  <si>
    <t>React composition</t>
  </si>
  <si>
    <t>Docker &amp; containerisation ⚑</t>
  </si>
  <si>
    <t>Advanced React: Reusability</t>
  </si>
  <si>
    <t>A Tour of JavaScript &amp; React Patterns</t>
  </si>
  <si>
    <t>Custom hooks, context and composition. Library-specific APIs are a branch.</t>
  </si>
  <si>
    <t>React routing</t>
  </si>
  <si>
    <t>Grouping (,)</t>
  </si>
  <si>
    <t>Learn React Router; Advanced React: Routing</t>
  </si>
  <si>
    <t>Complete Intro to React v9 (TanStack Router)</t>
  </si>
  <si>
    <t>Scrimba teaches v6; React Router v7 is current. The API barely moved.</t>
  </si>
  <si>
    <t>React performance</t>
  </si>
  <si>
    <t>Advanced React: Performance</t>
  </si>
  <si>
    <t>Intermediate React v6; React Performance v2</t>
  </si>
  <si>
    <t>Measurement, referential identity, memoisation. Server depth is a branch.</t>
  </si>
  <si>
    <t>React data &amp; auth</t>
  </si>
  <si>
    <t>Advanced React: Persistence / Authentication; Learn Firebase</t>
  </si>
  <si>
    <t>State Management at Scale in React &amp; Next.js; Redux Fundamentals</t>
  </si>
  <si>
    <t>Understand the boundaries before adopting any provider's recipe.</t>
  </si>
  <si>
    <t>React practice</t>
  </si>
  <si>
    <t>React Challenges; React Interview Questions</t>
  </si>
  <si>
    <t>Senior Level Frontend Interview Prep</t>
  </si>
  <si>
    <t>Start with ordinary components. The spreadsheet clone is optional depth.</t>
  </si>
  <si>
    <t>Testing</t>
  </si>
  <si>
    <t>Introduction to Unit Testing; Testing in React</t>
  </si>
  <si>
    <t>Testing Fundamentals; Playwright: Automated Testing</t>
  </si>
  <si>
    <t>Verify behaviour in your own app, not in the course's app.</t>
  </si>
  <si>
    <t>Performance &amp; debugging</t>
  </si>
  <si>
    <t>Relevant React/CSS/JS modules</t>
  </si>
  <si>
    <t>Web Performance Fundamentals v2; Chrome Developer Tools v4</t>
  </si>
  <si>
    <t>Practise diagnosis deliberately. Watching the video is not the skill.</t>
  </si>
  <si>
    <t>Descendant ( ) vs child (&gt;)</t>
  </si>
  <si>
    <t>Security &amp; delivery</t>
  </si>
  <si>
    <t>Learn Cybersecurity; Deploying with Netlify; Intro to DevOps</t>
  </si>
  <si>
    <t>Web Security v2; Full Stack Fundamentals v3</t>
  </si>
  <si>
    <t>Client safety and shipping. Deeper infra is the backend branch.</t>
  </si>
  <si>
    <t>DSA &amp; interviews</t>
  </si>
  <si>
    <t>Data Structures and Algorithms; JavaScript Interview Challenges</t>
  </si>
  <si>
    <t>Computer Science path; Getting a Software Engineering Job v3</t>
  </si>
  <si>
    <t>Set the depth from the employer, not from your years.</t>
  </si>
  <si>
    <t>Frontend system design</t>
  </si>
  <si>
    <t>App-building projects</t>
  </si>
  <si>
    <t>Front-End System Design; Frontend Architecture</t>
  </si>
  <si>
    <t>Feature design now. Monorepos and microfrontends later, if ever.</t>
  </si>
  <si>
    <t>Next.js</t>
  </si>
  <si>
    <t>Learn Next.js; Fullstack Path: Next.js</t>
  </si>
  <si>
    <t>CI/CD pipelines at depth; blue-green &amp; canary deploys</t>
  </si>
  <si>
    <t>Next.js Fundamentals v4; Build a Fullstack Next.js App v4</t>
  </si>
  <si>
    <t>Becomes core the moment a JD names it.</t>
  </si>
  <si>
    <t>Vue / Nuxt</t>
  </si>
  <si>
    <t>Adjacent sibling (+) vs general sibling (~)</t>
  </si>
  <si>
    <t>Learn Vue</t>
  </si>
  <si>
    <t>Vue path; Intermediate Vue</t>
  </si>
  <si>
    <t>You already have Vue. This is where you make it an asset, not a detour.</t>
  </si>
  <si>
    <t>Very commonly asked to differentiate</t>
  </si>
  <si>
    <t>No dedicated Angular course observed</t>
  </si>
  <si>
    <t>Angular path; Intermediate Angular</t>
  </si>
  <si>
    <t>Master.dev only. Do not assume Scrimba covers this branch.</t>
  </si>
  <si>
    <t>Svelte / Astro</t>
  </si>
  <si>
    <t>Intro to Astro; Learn Imba</t>
  </si>
  <si>
    <t>Svelte &amp; SvelteKit v2</t>
  </si>
  <si>
    <t>Alternatives, not cumulative prerequisites.</t>
  </si>
  <si>
    <t>Backend</t>
  </si>
  <si>
    <t>Learn Node.js; Learn Express.js; Learn SQL; Backend Path</t>
  </si>
  <si>
    <t>Fullstack to Backend path</t>
  </si>
  <si>
    <t>Promote for full-stack vacancies. Backend is not 'more advanced' than frontend.</t>
  </si>
  <si>
    <t>Browser platform</t>
  </si>
  <si>
    <t>Build a Mobile App with Firebase</t>
  </si>
  <si>
    <t>Browser APIs path</t>
  </si>
  <si>
    <t>Service workers, IndexedDB, realtime. Specialist, not senior.</t>
  </si>
  <si>
    <t>Graphics &amp; dataviz</t>
  </si>
  <si>
    <t>CSS animation and design offerings</t>
  </si>
  <si>
    <t>D3 / data visualisation path</t>
  </si>
  <si>
    <t>Only where the role asks for it.</t>
  </si>
  <si>
    <t>AI engineering</t>
  </si>
  <si>
    <t>AI Engineer Path; Learn RAG; Intro to MCP</t>
  </si>
  <si>
    <t>AI agents and tooling courses</t>
  </si>
  <si>
    <t>Not a prerequisite for any frontend opening. Increasingly a differentiator.</t>
  </si>
  <si>
    <t>Enterprise &amp; leadership</t>
  </si>
  <si>
    <t>No direct equivalent</t>
  </si>
  <si>
    <t>Enterprise &amp; Leadership; Code Architecture</t>
  </si>
  <si>
    <t>Advanced specialisation and team scope.</t>
  </si>
  <si>
    <t>Attribute selectors: [attr], =, ~=, |=, ^=, $=, *=, i flag</t>
  </si>
  <si>
    <t>Know at least ^=, $=, *=</t>
  </si>
  <si>
    <t>Nginx, reverse proxies, load balancing</t>
  </si>
  <si>
    <t>Compound selectors (a.btn.primary)</t>
  </si>
  <si>
    <t>Pseudo-classes: :hover, :focus, :active, :visited, :focus-visible, :focus-within</t>
  </si>
  <si>
    <t>:focus vs :focus-visible is the modern follow-up</t>
  </si>
  <si>
    <t>Linux server administration, SSH, firewalls, ufw, certbot</t>
  </si>
  <si>
    <t>FEM's Full Stack Fundamentals covers all of it</t>
  </si>
  <si>
    <t>Structural: :first-child, :last-child, :nth-child(), :nth-of-type(), :only-child</t>
  </si>
  <si>
    <t>:nth-child(2n+1) gets asked directly. Also :nth-child vs :nth-of-type</t>
  </si>
  <si>
    <t>Cloud infra: AWS/GCP basics, IaC</t>
  </si>
  <si>
    <t>Form state: :checked, :disabled, :required, :valid, :invalid, :placeholder-shown</t>
  </si>
  <si>
    <t>CSS-only toggles and validation styling</t>
  </si>
  <si>
    <t>:not(), :is(), :where()</t>
  </si>
  <si>
    <t>:is() vs :where() — the specificity difference</t>
  </si>
  <si>
    <t>Backend system design: sharding, replication, consistency, CAP</t>
  </si>
  <si>
    <t>:has() — the parent selector</t>
  </si>
  <si>
    <t>Newer; increasingly asked</t>
  </si>
  <si>
    <t>:root, :target, :empty</t>
  </si>
  <si>
    <t>Realtime backends &amp; scaling websockets</t>
  </si>
  <si>
    <t>Pseudo-elements: ::before, ::after, content</t>
  </si>
  <si>
    <t>Why they need content; why they don't work on void elements</t>
  </si>
  <si>
    <t>::first-line, ::first-letter, ::selection, ::marker, ::placeholder, ::backdrop</t>
  </si>
  <si>
    <t>Go / Rust for JS developers</t>
  </si>
  <si>
    <t>Pseudo-class vs pseudo-element (: vs ::)</t>
  </si>
  <si>
    <t>Straight definition question</t>
  </si>
  <si>
    <t>2.3 Cascade, specificity &amp; inheritance</t>
  </si>
  <si>
    <t>The cascade: origin, importance, specificity, source order</t>
  </si>
  <si>
    <t>The single most-asked CSS topic</t>
  </si>
  <si>
    <t>Browser Platform</t>
  </si>
  <si>
    <t>Platform depth</t>
  </si>
  <si>
    <t>IndexedDB</t>
  </si>
  <si>
    <t>Object stores, keys, indexes, transactions, schema upgrades</t>
  </si>
  <si>
    <t>Specificity calculation (ID, class, type)</t>
  </si>
  <si>
    <t>Score these three selectors</t>
  </si>
  <si>
    <t>!important — what it does, why you avoid it</t>
  </si>
  <si>
    <t>Storage design</t>
  </si>
  <si>
    <t>Quotas, eviction, persistence requests, migration, corruption, sensitive data</t>
  </si>
  <si>
    <t>Inline styles in the cascade</t>
  </si>
  <si>
    <t>Inheritance: which properties inherit</t>
  </si>
  <si>
    <t>Typography inherits, box properties don't</t>
  </si>
  <si>
    <t>PWA manifest and installability</t>
  </si>
  <si>
    <t>App metadata, icons, scope, launch behaviour, browser differences</t>
  </si>
  <si>
    <t>inherit, initial, unset, revert, all</t>
  </si>
  <si>
    <t>@layer — cascade layers</t>
  </si>
  <si>
    <t>How layers beat specificity</t>
  </si>
  <si>
    <t>Service-worker lifecycle</t>
  </si>
  <si>
    <t>Install and activate, controlled pages, updates, version coexistence</t>
  </si>
  <si>
    <t>Specificity of :is() / :where() / :not()</t>
  </si>
  <si>
    <t>:where() is always zero</t>
  </si>
  <si>
    <t>CSS resets vs normalize vs modern reset</t>
  </si>
  <si>
    <t>What's in your reset and why</t>
  </si>
  <si>
    <t>Offline caching strategies</t>
  </si>
  <si>
    <t>Dashboard  ·  progress by area</t>
  </si>
  <si>
    <t>Cache-first, network-first, stale-while-revalidate, invalidation, fallback</t>
  </si>
  <si>
    <t>2.4 Units &amp; values</t>
  </si>
  <si>
    <t>px, %, absolute vs relative units</t>
  </si>
  <si>
    <t>Everything here is a live formula over the Core Syllabus sheet. Set Status there and these numbers move.</t>
  </si>
  <si>
    <t>em vs rem</t>
  </si>
  <si>
    <t>Guaranteed question. The em compounding problem</t>
  </si>
  <si>
    <t>Offline mutations</t>
  </si>
  <si>
    <t>Queueing, retry, idempotency, conflict resolution, sync state in the UI</t>
  </si>
  <si>
    <t>vw, vh, vmin, vmax; dvh/svh/lvh</t>
  </si>
  <si>
    <t>The mobile 100vh address-bar bug</t>
  </si>
  <si>
    <t>ch, ex, lh</t>
  </si>
  <si>
    <t>ch for line length</t>
  </si>
  <si>
    <t>Notifications and push</t>
  </si>
  <si>
    <t>Permission UX, subscriptions, delivery limits, user control</t>
  </si>
  <si>
    <t>fr (grid only)</t>
  </si>
  <si>
    <t>▸ Dashboard</t>
  </si>
  <si>
    <t>Overall</t>
  </si>
  <si>
    <t>Items in the core syllabus</t>
  </si>
  <si>
    <t>calc()</t>
  </si>
  <si>
    <t>Mixing units</t>
  </si>
  <si>
    <t>Workers in practice</t>
  </si>
  <si>
    <t>min(), max(), clamp()</t>
  </si>
  <si>
    <t>Dedicated and shared workers, messages, transferables, cancellation</t>
  </si>
  <si>
    <t>clamp() for fluid type is asked constantly now</t>
  </si>
  <si>
    <t>Started (any status set)</t>
  </si>
  <si>
    <t>min-content, max-content, fit-content, auto</t>
  </si>
  <si>
    <t>WebSocket applications</t>
  </si>
  <si>
    <t>Connection states, reconnect, heartbeat, auth, ordering, duplicate events</t>
  </si>
  <si>
    <t>aspect-ratio</t>
  </si>
  <si>
    <t>Replaces the padding-top hack</t>
  </si>
  <si>
    <t>Average score (0–4)</t>
  </si>
  <si>
    <t>2.5 Colour</t>
  </si>
  <si>
    <t>Named colours, hex, rgb()/rgba(), hsl()/hsla()</t>
  </si>
  <si>
    <t>Why HSL is easier to reason about</t>
  </si>
  <si>
    <t>SSE and streaming responses</t>
  </si>
  <si>
    <t>Incremental decoding, disconnect and retry, cancel, partial content</t>
  </si>
  <si>
    <t>Percent solid</t>
  </si>
  <si>
    <t>Modern space-separated / slash-alpha syntax</t>
  </si>
  <si>
    <t>rgb(0 0 0 / 50%)</t>
  </si>
  <si>
    <t>currentColor</t>
  </si>
  <si>
    <t>BroadcastChannel</t>
  </si>
  <si>
    <t>Nice-to-know that impresses</t>
  </si>
  <si>
    <t>By area  ·  core syllabus</t>
  </si>
  <si>
    <t>Cross-tab messages, session sync, ownership</t>
  </si>
  <si>
    <t>Items</t>
  </si>
  <si>
    <t>Started</t>
  </si>
  <si>
    <t>% solid</t>
  </si>
  <si>
    <t>opacity vs alpha channel</t>
  </si>
  <si>
    <t>Avg score</t>
  </si>
  <si>
    <t>Opacity affects children; alpha doesn't</t>
  </si>
  <si>
    <t>WebRTC</t>
  </si>
  <si>
    <t>color-scheme + light-dark()</t>
  </si>
  <si>
    <t>Modern dark-mode approach (Scrimba teaches it)</t>
  </si>
  <si>
    <t>Peer connections, media and data channels, signalling, STUN/TURN</t>
  </si>
  <si>
    <t>prefers-color-scheme</t>
  </si>
  <si>
    <t>Dark mode implementation question</t>
  </si>
  <si>
    <t>Contrast ratio &amp; WCAG AA thresholds (4.5:1 / 3:1)</t>
  </si>
  <si>
    <t>Geolocation</t>
  </si>
  <si>
    <t>Permission, accuracy, timeouts, fallback, location privacy</t>
  </si>
  <si>
    <t>lch / oklch / wide-gamut</t>
  </si>
  <si>
    <t>Nice to mention, not required</t>
  </si>
  <si>
    <t>2.6 Box model</t>
  </si>
  <si>
    <t>Content / padding / border / margin</t>
  </si>
  <si>
    <t>Draw it. Asked in practically every interview.</t>
  </si>
  <si>
    <t>Media capture</t>
  </si>
  <si>
    <t>box-sizing: content-box vs border-box</t>
  </si>
  <si>
    <t>Why everyone sets border-box globally</t>
  </si>
  <si>
    <t>Camera and microphone, constraints, tracks, permissions, cleanup</t>
  </si>
  <si>
    <t>width / height / min-* / max-*</t>
  </si>
  <si>
    <t>File System Access / Clipboard / Share</t>
  </si>
  <si>
    <t>Margin collapsing (adjacent, parent-child, empty)</t>
  </si>
  <si>
    <t>Capability detection, permission, user activation, fallback</t>
  </si>
  <si>
    <t>The classic trick question</t>
  </si>
  <si>
    <t>Negative margins</t>
  </si>
  <si>
    <t>Device APIs</t>
  </si>
  <si>
    <t>Bluetooth, USB, serial, sensors and their support constraints</t>
  </si>
  <si>
    <t>margin: 0 auto centring</t>
  </si>
  <si>
    <t>Why it needs a width, why it doesn't work vertically</t>
  </si>
  <si>
    <t>Part 2B — Implementing Designs</t>
  </si>
  <si>
    <t>overflow: visible / hidden / scroll / auto / clip</t>
  </si>
  <si>
    <t>WebAuthn and passkeys</t>
  </si>
  <si>
    <t>Challenge-response, browser credentials, server verification, recovery UX</t>
  </si>
  <si>
    <t>border, border-radius, outline</t>
  </si>
  <si>
    <t>outline doesn't affect layout — the a11y-relevant detail</t>
  </si>
  <si>
    <t>box-shadow (incl. inset, spread)</t>
  </si>
  <si>
    <t>Collaborative realtime state</t>
  </si>
  <si>
    <t>Optimistic local changes, ordering, conflict resolution, CRDT and OT awareness</t>
  </si>
  <si>
    <t>2.7 Typography</t>
  </si>
  <si>
    <t>font-family, font stacks, web-safe fallbacks</t>
  </si>
  <si>
    <t>Part 3 — JavaScript: The Language</t>
  </si>
  <si>
    <t>font-size, font-weight, font-style</t>
  </si>
  <si>
    <t>Service Workers: lifecycle, caching strategies, background sync ⚑</t>
  </si>
  <si>
    <t>The real PWA work</t>
  </si>
  <si>
    <t>line-height (unitless vs unit)</t>
  </si>
  <si>
    <t>Why unitless is correct</t>
  </si>
  <si>
    <t>letter-spacing, word-spacing</t>
  </si>
  <si>
    <t>Part 4 — Browser, DOM &amp; Web APIs</t>
  </si>
  <si>
    <t>PWAs: installability, offline-first, push notifications</t>
  </si>
  <si>
    <t>text-align, text-decoration, text-transform, text-indent</t>
  </si>
  <si>
    <t>text-shadow</t>
  </si>
  <si>
    <t>IndexedDB at depth; local-first sync &amp; CRDTs</t>
  </si>
  <si>
    <t>Part 5 — Asynchronous JavaScript &amp; Networking</t>
  </si>
  <si>
    <t>white-space, word-break, overflow-wrap, hyphens</t>
  </si>
  <si>
    <t>Text overflow handling</t>
  </si>
  <si>
    <t>WebSockets at scale; reconnection, backpressure, presence ⚑</t>
  </si>
  <si>
    <t>text-overflow: ellipsis (+ the required trio)</t>
  </si>
  <si>
    <t>Single-line truncation is a live-coding staple. Multi-line via -webkit-line-clamp</t>
  </si>
  <si>
    <t>@font-face, font-display: swap, FOUT/FOIT</t>
  </si>
  <si>
    <t>Web font performance</t>
  </si>
  <si>
    <t>Part 6 — Tooling &amp; Workflow</t>
  </si>
  <si>
    <t>Variable fonts</t>
  </si>
  <si>
    <t>Self-hosting vs Google Fonts</t>
  </si>
  <si>
    <t>Server-Sent Events &amp; streaming responses</t>
  </si>
  <si>
    <t>Perf + privacy</t>
  </si>
  <si>
    <t>Fluid typography with clamp()</t>
  </si>
  <si>
    <t>Part 7 — TypeScript</t>
  </si>
  <si>
    <t>Web Workers &amp; Comlink; multi-threaded frontends</t>
  </si>
  <si>
    <t>2.8 Backgrounds, borders &amp; effects</t>
  </si>
  <si>
    <t>background-color, -image, -repeat, -position, -size, -attachment</t>
  </si>
  <si>
    <t>cover vs contain</t>
  </si>
  <si>
    <t>Multiple backgrounds</t>
  </si>
  <si>
    <t>Shared Workers, Broadcast Channel</t>
  </si>
  <si>
    <t>Part 8 — React</t>
  </si>
  <si>
    <t>linear-gradient, radial-gradient, conic-gradient</t>
  </si>
  <si>
    <t>WebGL / WebGPU / Three.js</t>
  </si>
  <si>
    <t>object-fit / object-position</t>
  </si>
  <si>
    <t>The &lt;img&gt; equivalent of background-size</t>
  </si>
  <si>
    <t>filter (blur, grayscale, brightness…)</t>
  </si>
  <si>
    <t>Canvas at scale; offscreen canvas</t>
  </si>
  <si>
    <t>Part 9 — Accessibility</t>
  </si>
  <si>
    <t>backdrop-filter</t>
  </si>
  <si>
    <t>Glassmorphism</t>
  </si>
  <si>
    <t>Web Components + shadow DOM as a real strategy ⚑</t>
  </si>
  <si>
    <t>mix-blend-mode</t>
  </si>
  <si>
    <t>clip-path, mask</t>
  </si>
  <si>
    <t>Part 10 — Web Performance</t>
  </si>
  <si>
    <t>2.9 Display &amp; normal flow</t>
  </si>
  <si>
    <t>display: block / inline / inline-block / none / contents</t>
  </si>
  <si>
    <t>display:none vs visibility:hidden vs opacity:0 — asked constantly</t>
  </si>
  <si>
    <t>File System Access API, Origin Private File System</t>
  </si>
  <si>
    <t>Normal flow, BFC (block formatting context)</t>
  </si>
  <si>
    <t>How a BFC contains floats / stops margin collapse</t>
  </si>
  <si>
    <t>float &amp; clear (legacy)</t>
  </si>
  <si>
    <t>Still asked by older panels; know clearfix</t>
  </si>
  <si>
    <t>WebAuthn / passkeys ⚑</t>
  </si>
  <si>
    <t>visibility: hidden vs display: none for a11y</t>
  </si>
  <si>
    <t>Part 11 — Testing</t>
  </si>
  <si>
    <t>Logical properties (inline-start, block-end)</t>
  </si>
  <si>
    <t>i18n / RTL</t>
  </si>
  <si>
    <t>Payment Request API</t>
  </si>
  <si>
    <t>2.10 Flexbox</t>
  </si>
  <si>
    <t>display: flex / inline-flex; main vs cross axis</t>
  </si>
  <si>
    <t>flex-direction</t>
  </si>
  <si>
    <t>Part 12 — Next.js &amp; Rendering Strategies</t>
  </si>
  <si>
    <t>Browser extension development</t>
  </si>
  <si>
    <t>flex-wrap, flex-flow</t>
  </si>
  <si>
    <t>justify-content</t>
  </si>
  <si>
    <t>Advanced CSP, Trusted Types, Subresource Integrity ⚑</t>
  </si>
  <si>
    <t>align-items, align-self</t>
  </si>
  <si>
    <t>Advanced memory profiling: retainer chains, leak forensics</t>
  </si>
  <si>
    <t>align-content</t>
  </si>
  <si>
    <t>Only applies when wrapped — the gotcha</t>
  </si>
  <si>
    <t>Part 15 — Design &amp; Architecture Principles</t>
  </si>
  <si>
    <t>gap / row-gap / column-gap</t>
  </si>
  <si>
    <t>Enterprise Architecture</t>
  </si>
  <si>
    <t>Scale &amp; platform</t>
  </si>
  <si>
    <t>Modular application architecture</t>
  </si>
  <si>
    <t>Domain and feature boundaries, dependency rules, ownership</t>
  </si>
  <si>
    <t>flex-grow, flex-shrink, flex-basis</t>
  </si>
  <si>
    <t>Explain flex: 1 in longhand</t>
  </si>
  <si>
    <t>flex: 1 vs flex: auto vs flex: none</t>
  </si>
  <si>
    <t>Monorepos</t>
  </si>
  <si>
    <t>Workspaces, package boundaries, dependency graphs, task caching, affected builds</t>
  </si>
  <si>
    <t>order (and why it hurts a11y)</t>
  </si>
  <si>
    <t>Part 16 — Feature System Design</t>
  </si>
  <si>
    <t>Visual order ≠ DOM order</t>
  </si>
  <si>
    <t>margin-left: auto push trick</t>
  </si>
  <si>
    <t>Pushing one item right in a navbar</t>
  </si>
  <si>
    <t>Library packaging</t>
  </si>
  <si>
    <t>Exports, ESM/CJS compatibility, types, tree shaking, peer deps, publishing</t>
  </si>
  <si>
    <t>Flex item min-size gotcha (min-width: 0)</t>
  </si>
  <si>
    <t>Why a flex child won't shrink / text won't truncate</t>
  </si>
  <si>
    <t>Centring: the 2-line flex solution</t>
  </si>
  <si>
    <t>By band and by weight</t>
  </si>
  <si>
    <t>Microfrontends</t>
  </si>
  <si>
    <t>Integration strategies, routing, shared deps, contracts, independent deploys</t>
  </si>
  <si>
    <t>2.11 Grid</t>
  </si>
  <si>
    <t>display: grid; explicit vs implicit grid</t>
  </si>
  <si>
    <t>grid-template-columns / -rows</t>
  </si>
  <si>
    <t>Module federation</t>
  </si>
  <si>
    <t>Runtime loading, version compatibility, failure isolation, dependency sharing</t>
  </si>
  <si>
    <t>fr unit</t>
  </si>
  <si>
    <t>repeat()</t>
  </si>
  <si>
    <t>Design-system governance</t>
  </si>
  <si>
    <t>Token contracts, a11y standards, versioning, adoption, deprecation</t>
  </si>
  <si>
    <t>minmax()</t>
  </si>
  <si>
    <t>auto-fit vs auto-fill</t>
  </si>
  <si>
    <t>Direct question; know the difference cold</t>
  </si>
  <si>
    <t>Large frontend system design</t>
  </si>
  <si>
    <t>Multi-team constraints, consistency, extensibility, observability, migration</t>
  </si>
  <si>
    <t>gap</t>
  </si>
  <si>
    <t>Advanced virtualisation</t>
  </si>
  <si>
    <t>Variable heights, recycled views, bidirectional loading, focus, scroll anchoring</t>
  </si>
  <si>
    <t>Line-based placement: grid-column, grid-row, span</t>
  </si>
  <si>
    <t>Other sheets</t>
  </si>
  <si>
    <t>Sheet</t>
  </si>
  <si>
    <t>Advanced Web (5+ / specialist)</t>
  </si>
  <si>
    <t>Negative line numbers (-1)</t>
  </si>
  <si>
    <t>Complex UI exercises</t>
  </si>
  <si>
    <t>Role Branches</t>
  </si>
  <si>
    <t>Spreadsheet grid, rich-text editor, drag-drop tree, graph editor, undo/redo</t>
  </si>
  <si>
    <t>Interview Drills</t>
  </si>
  <si>
    <t>grid-template-areas</t>
  </si>
  <si>
    <t>The readable way to do page layout</t>
  </si>
  <si>
    <t>grid-auto-rows / -columns / grid-auto-flow (incl. dense)</t>
  </si>
  <si>
    <t>State architecture at scale</t>
  </si>
  <si>
    <t>Normalised entities, selectors, state machines, external stores, hydration isolation</t>
  </si>
  <si>
    <t>Alignment: justify-items/-content/-self, align-*, place-*</t>
  </si>
  <si>
    <t>subgrid</t>
  </si>
  <si>
    <t>Newer, increasingly asked</t>
  </si>
  <si>
    <t>Build-tool internals</t>
  </si>
  <si>
    <t>Module graph, transforms, plugin lifecycle, source maps, cache invalidation</t>
  </si>
  <si>
    <t>Responsive grid with no media queries</t>
  </si>
  <si>
    <t>repeat(auto-fit, minmax(250px, 1fr)) — memorise it</t>
  </si>
  <si>
    <t>Grid vs Flexbox — when to use which</t>
  </si>
  <si>
    <t>Asked in almost every CSS round. 1D vs 2D; content-out vs layout-in</t>
  </si>
  <si>
    <t>Webpack configuration</t>
  </si>
  <si>
    <t>Loaders and plugins, chunk strategy, module federation, legacy migration</t>
  </si>
  <si>
    <t>2.12 Positioning &amp; stacking</t>
  </si>
  <si>
    <t>position: static / relative / absolute / fixed / sticky</t>
  </si>
  <si>
    <t>Guaranteed question</t>
  </si>
  <si>
    <t>Vite / Rollup plugin authoring</t>
  </si>
  <si>
    <t>Containing block rules for absolute positioning</t>
  </si>
  <si>
    <t>What "nearest positioned ancestor" means</t>
  </si>
  <si>
    <t>Transformations, dev vs build differences, plugin correctness</t>
  </si>
  <si>
    <t>top/right/bottom/left, inset</t>
  </si>
  <si>
    <t>Testing strategy at scale</t>
  </si>
  <si>
    <t>position: sticky requirements</t>
  </si>
  <si>
    <t>Contract and visual regression tests, flake diagnosis, test data, parallelism</t>
  </si>
  <si>
    <t>Why sticky silently fails (no threshold, overflow:hidden ancestor)</t>
  </si>
  <si>
    <t>z-index and stacking order</t>
  </si>
  <si>
    <t>Stacking contexts — what creates one</t>
  </si>
  <si>
    <t>z-index: 9999 not working — the classic debugging question. transform, opacity &lt; 1, filter, will-change, isolation</t>
  </si>
  <si>
    <t>Observability strategy</t>
  </si>
  <si>
    <t>RUM, error budgets, traces, deploy correlation, sampling, privacy</t>
  </si>
  <si>
    <t>isolation: isolate</t>
  </si>
  <si>
    <t>2.13 Responsive design</t>
  </si>
  <si>
    <t>Viewport meta tag</t>
  </si>
  <si>
    <t>Performance governance</t>
  </si>
  <si>
    <t>Budgets, regression detection, field distributions, ownership</t>
  </si>
  <si>
    <t>Mobile-first vs desktop-first</t>
  </si>
  <si>
    <t>Why min-width queries are preferred</t>
  </si>
  <si>
    <t>@media — width, height, orientation, and/or/not</t>
  </si>
  <si>
    <t>Platform strategy</t>
  </si>
  <si>
    <t>Build vs buy, migration cost, productivity measurement, standards</t>
  </si>
  <si>
    <t>Range syntax (@media (400px &lt;= width &lt;= 700px))</t>
  </si>
  <si>
    <t>Common breakpoints &amp; why they're arbitrary</t>
  </si>
  <si>
    <t>Content-driven breakpoints is the good answer</t>
  </si>
  <si>
    <t>Technical leadership</t>
  </si>
  <si>
    <t>Architecture proposals, consensus, mentoring, cross-team ownership, roadmap</t>
  </si>
  <si>
    <t>prefers-reduced-motion</t>
  </si>
  <si>
    <t>a11y + animation combo question</t>
  </si>
  <si>
    <t>Microfrontends: runtime vs build-time composition ⚑</t>
  </si>
  <si>
    <t>FEM: Enterprise UI Development v2</t>
  </si>
  <si>
    <t>pointer / hover media features</t>
  </si>
  <si>
    <t>Touch vs mouse</t>
  </si>
  <si>
    <t>print styles</t>
  </si>
  <si>
    <t>Module Federation (Webpack / Rspack / Vite)</t>
  </si>
  <si>
    <t>Container queries (@container, container-type)</t>
  </si>
  <si>
    <t>The modern answer to component-level responsiveness</t>
  </si>
  <si>
    <t>Monorepos: Turborepo, Nx, pnpm workspaces, task graphs, partial rebuilds ⚑</t>
  </si>
  <si>
    <t>Very common in larger orgs</t>
  </si>
  <si>
    <t>Intrinsic / fluid layouts without breakpoints</t>
  </si>
  <si>
    <t>FEM calls these "intrinsic design patterns"</t>
  </si>
  <si>
    <t>Fluid typography &amp; spacing</t>
  </si>
  <si>
    <t>Backends-for-frontends (BFF) ⚑</t>
  </si>
  <si>
    <t>Responsive images (srcset/sizes/picture)</t>
  </si>
  <si>
    <t>Cross-ref §1.4</t>
  </si>
  <si>
    <t>2.14 Custom properties &amp; theming</t>
  </si>
  <si>
    <t>Declaring / consuming --var and var()</t>
  </si>
  <si>
    <t>TypeScript project references &amp; scaling type-check times</t>
  </si>
  <si>
    <t>Fallback values var(--x, fallback)</t>
  </si>
  <si>
    <t>Scope &amp; inheritance of custom properties</t>
  </si>
  <si>
    <t>How they differ from Sass variables — common question</t>
  </si>
  <si>
    <t>Architectural linting: custom ESLint rules, dependency boundaries</t>
  </si>
  <si>
    <t>Runtime updates from JS (setProperty)</t>
  </si>
  <si>
    <t>This is *the* reason they beat preprocessor variables</t>
  </si>
  <si>
    <t>Performance budgets enforced in CI</t>
  </si>
  <si>
    <t>Theming / dark mode via token swap</t>
  </si>
  <si>
    <t>Build a theme switcher</t>
  </si>
  <si>
    <t>Design tokens (colour, space, radius, type scale)</t>
  </si>
  <si>
    <t>Frontend system design at senior level: rendering strategy, caching layers, data flow, failure modes, offline, i18n, rollout ⚑</t>
  </si>
  <si>
    <t>The senior interview round</t>
  </si>
  <si>
    <t>2.15 Transitions &amp; animations</t>
  </si>
  <si>
    <t>transition (property, duration, timing, delay)</t>
  </si>
  <si>
    <t>Feature-flag platforms &amp; progressive rollout</t>
  </si>
  <si>
    <t>Which properties are animatable</t>
  </si>
  <si>
    <t>You can't transition display (until @starting-style)</t>
  </si>
  <si>
    <t>Easing: ease, linear, cubic-bezier(), steps()</t>
  </si>
  <si>
    <t>Observability: RUM, distributed tracing, error budgets, SLOs</t>
  </si>
  <si>
    <t>@keyframes + animation-* shorthand</t>
  </si>
  <si>
    <t>animation-fill-mode, -iteration-count, -direction, -play-state</t>
  </si>
  <si>
    <t>fill-mode: forwards is the usual gotcha</t>
  </si>
  <si>
    <t>A/B testing infrastructure</t>
  </si>
  <si>
    <t>transform: translate / rotate / scale / skew; transform-origin</t>
  </si>
  <si>
    <t>Individual transform properties (translate, rotate, scale)</t>
  </si>
  <si>
    <t>Migration strategies (strangler fig, incremental adoption)</t>
  </si>
  <si>
    <t>Animate only transform and opacity</t>
  </si>
  <si>
    <t>Why: they skip layout &amp; paint, run on the compositor. Top perf answer</t>
  </si>
  <si>
    <t>Layout thrash / reflow vs repaint vs composite</t>
  </si>
  <si>
    <t>Permission / authorisation systems (RBAC, ABAC) ⚑</t>
  </si>
  <si>
    <t>FEM: Permission Systems</t>
  </si>
  <si>
    <t>will-change and when *not* to use it</t>
  </si>
  <si>
    <t>prefers-reduced-motion guard</t>
  </si>
  <si>
    <t>Complexity analysis beyond the basics; amortised cost</t>
  </si>
  <si>
    <t>Staggering / choreography with delays</t>
  </si>
  <si>
    <t>Linked lists, stacks, queues, deques, ring buffers</t>
  </si>
  <si>
    <t>3D transforms, perspective</t>
  </si>
  <si>
    <t>Trees: BST, balanced trees, tries, heaps</t>
  </si>
  <si>
    <t>View Transitions API</t>
  </si>
  <si>
    <t>2.16 Architecture &amp; methodology</t>
  </si>
  <si>
    <t>Naming conventions — BEM</t>
  </si>
  <si>
    <t>Asked by name. Block__element--modifier</t>
  </si>
  <si>
    <t>Graphs: BFS, DFS, Dijkstra, topological sort ⚑</t>
  </si>
  <si>
    <t>FEM's interview course ends on a spreadsheet-engine problem built on topological ordering</t>
  </si>
  <si>
    <t>Utility classes &amp; utility-first</t>
  </si>
  <si>
    <t>Dynamic programming &amp; memoisation</t>
  </si>
  <si>
    <t>Base / layout / component / utility layering</t>
  </si>
  <si>
    <t>Divide &amp; conquer; advanced sorting</t>
  </si>
  <si>
    <t>Separation of concerns vs colocation</t>
  </si>
  <si>
    <t>Avoiding deep nesting &amp; over-specific selectors</t>
  </si>
  <si>
    <t>Hash table internals</t>
  </si>
  <si>
    <t>Managing specificity as a codebase grows</t>
  </si>
  <si>
    <t>Design systems: tokens, components, documentation</t>
  </si>
  <si>
    <t>LRU cache implementation ⚑</t>
  </si>
  <si>
    <t>A genuinely common senior frontend ask</t>
  </si>
  <si>
    <t>OOCSS / SMACSS / ITCSS</t>
  </si>
  <si>
    <t>Name-drop level</t>
  </si>
  <si>
    <t>Visual regression testing (Chromatic, Percy)</t>
  </si>
  <si>
    <t>2.17 CSS tooling</t>
  </si>
  <si>
    <t>Sass/SCSS: nesting, variables, mixins, partials, @use</t>
  </si>
  <si>
    <t>Still on plenty of job descriptions</t>
  </si>
  <si>
    <t>Native CSS nesting</t>
  </si>
  <si>
    <t>Accessibility testing in CI at scale</t>
  </si>
  <si>
    <t>PostCSS &amp; Autoprefixer</t>
  </si>
  <si>
    <t>CSS Modules (.module.css, local scoping)</t>
  </si>
  <si>
    <t>Standard in Vite/Next projects</t>
  </si>
  <si>
    <t>Performance regression testing in CI</t>
  </si>
  <si>
    <t>Tailwind CSS: utility classes, config, @apply, JIT</t>
  </si>
  <si>
    <t>Very commonly on JDs now</t>
  </si>
  <si>
    <t>CSS-in-JS (styled-components / emotion) — and why it's falling out of favour</t>
  </si>
  <si>
    <t>Runtime cost, RSC incompatibility</t>
  </si>
  <si>
    <t>Test architecture for a large monorepo; flake management</t>
  </si>
  <si>
    <t>Zero-runtime CSS-in-JS (vanilla-extract, Panda)</t>
  </si>
  <si>
    <t>Critical CSS / above-the-fold inlining</t>
  </si>
  <si>
    <t>Framework Comparison</t>
  </si>
  <si>
    <t>Vue 3: Composition API, ref/reactive, computed, watch, SFCs, directives, slots, Pinia</t>
  </si>
  <si>
    <t>You'll be asked to compare it to React. Have the honest version ready</t>
  </si>
  <si>
    <t>Reset keywords compared</t>
  </si>
  <si>
    <t>initial vs unset vs revert — build one example that distinguishes all three</t>
  </si>
  <si>
    <t>display: flow-root</t>
  </si>
  <si>
    <t>Contain floats and stop margin collapse without a clearfix hack</t>
  </si>
  <si>
    <t>Feature queries with fallbacks</t>
  </si>
  <si>
    <t>Vue's reactivity (Proxy-based) vs React's re-render model</t>
  </si>
  <si>
    <t>@supports plus a working baseline, not a broken one</t>
  </si>
  <si>
    <t>The sharpest comparison you can draw — Vue tracks dependencies, React re-runs the function</t>
  </si>
  <si>
    <t>Print stylesheet</t>
  </si>
  <si>
    <t>Readable print and PDF output where the product needs it</t>
  </si>
  <si>
    <t>Vue templates vs JSX</t>
  </si>
  <si>
    <t>Styling-approach tradeoffs</t>
  </si>
  <si>
    <t>Global CSS vs CSS Modules vs utility CSS vs CSS-in-JS — argue all four, then learn the project's</t>
  </si>
  <si>
    <t>Pinia vs Redux</t>
  </si>
  <si>
    <t>Reading and building a design</t>
  </si>
  <si>
    <t>Design inspection</t>
  </si>
  <si>
    <t>Read dimensions, spacing, type styles, colours and exportable assets from Figma</t>
  </si>
  <si>
    <t>Visual hierarchy</t>
  </si>
  <si>
    <t>Grouping, alignment, proximity, whitespace, consistent emphasis</t>
  </si>
  <si>
    <t>Angular: modules, DI, RxJS, two-way binding, TypeScript-first</t>
  </si>
  <si>
    <t>Awareness only</t>
  </si>
  <si>
    <t>Component state matrix</t>
  </si>
  <si>
    <t>Default, hover, focus, active, disabled, loading, error, empty — all eight, every time</t>
  </si>
  <si>
    <t>Visual QA pass</t>
  </si>
  <si>
    <t>Several widths, long content, empty data, zoom, slow assets</t>
  </si>
  <si>
    <t>Svelte: compiler-based, runes, no virtual DOM</t>
  </si>
  <si>
    <t>Inline SVG in practice</t>
  </si>
  <si>
    <t>viewBox, scaling, currentColor, decorative vs meaningful icons</t>
  </si>
  <si>
    <t>Theme implementation</t>
  </si>
  <si>
    <t>Light/dark variables, user preference, persisted choice, and the initial-render flash</t>
  </si>
  <si>
    <t>Solid: fine-grained reactivity, JSX without a VDOM</t>
  </si>
  <si>
    <t>Figma-to-code workflow</t>
  </si>
  <si>
    <t>Scrimba and Master.dev both teach this as a distinct skill, not a design course</t>
  </si>
  <si>
    <t>3.1 Types &amp; values</t>
  </si>
  <si>
    <t>The 7 primitives: string, number, boolean, null, undefined, symbol, bigint</t>
  </si>
  <si>
    <t>"List the data types in JS" — near-universal opener</t>
  </si>
  <si>
    <t>Why React won — ecosystem, hiring pool, composition model</t>
  </si>
  <si>
    <t>Objects as the only non-primitive</t>
  </si>
  <si>
    <t>Arrays/functions/dates are objects</t>
  </si>
  <si>
    <t>Primitive vs reference semantics</t>
  </si>
  <si>
    <t>Pass by value vs pass by reference — Scrimba lists it as an interview question by name</t>
  </si>
  <si>
    <t>Framework-agnostic principles that transfer</t>
  </si>
  <si>
    <t>Component model, state, effects, rendering — the answer that makes your Vue years count</t>
  </si>
  <si>
    <t>typeof and its lies</t>
  </si>
  <si>
    <t>typeof null === "object"; typeof NaN === "number"</t>
  </si>
  <si>
    <t>null vs undefined vs undeclared vs "empty"</t>
  </si>
  <si>
    <t>Named interview question in both syllabi</t>
  </si>
  <si>
    <t>Graphics &amp; Dataviz</t>
  </si>
  <si>
    <t>Visual branch</t>
  </si>
  <si>
    <t>Advanced SVG</t>
  </si>
  <si>
    <t>Paths, groups, transforms, masks, clipping, gradients, viewBox reasoning</t>
  </si>
  <si>
    <t>NaN, isNaN() vs Number.isNaN()</t>
  </si>
  <si>
    <t>Why NaN !== NaN</t>
  </si>
  <si>
    <t>SVG animation</t>
  </si>
  <si>
    <t>-0, Object.is()</t>
  </si>
  <si>
    <t>Path manipulation, morphing, coordinate systems, performance</t>
  </si>
  <si>
    <t>Number precision / 0.1 + 0.2 !== 0.3</t>
  </si>
  <si>
    <t>IEEE-754; how to fix it</t>
  </si>
  <si>
    <t>Canvas 2D</t>
  </si>
  <si>
    <t>Drawing state, coordinates, paths, images, text, pixel density</t>
  </si>
  <si>
    <t>Number.MAX_SAFE_INTEGER, BigInt</t>
  </si>
  <si>
    <t>Canvas interaction</t>
  </si>
  <si>
    <t>Hit testing, animation loop, redraw strategy, accessible alternatives</t>
  </si>
  <si>
    <t>Wrapper objects &amp; boxing ("a".length)</t>
  </si>
  <si>
    <t>Symbol basics &amp; well-known symbols</t>
  </si>
  <si>
    <t>Symbol.iterator matters for iterables</t>
  </si>
  <si>
    <t>D3 data binding</t>
  </si>
  <si>
    <t>Joins, scales, axes, selections, transitions, interaction</t>
  </si>
  <si>
    <t>String methods: slice, substring, split, replace, replaceAll, trim, pad*, at, includes, indexOf</t>
  </si>
  <si>
    <t>slice vs substring vs splice</t>
  </si>
  <si>
    <t>Template literals &amp; tagged templates</t>
  </si>
  <si>
    <t>Tagged templates are the 1–3 follow-up</t>
  </si>
  <si>
    <t>Visualisation design</t>
  </si>
  <si>
    <t>Truthful encoding, missing data, showing uncertainty</t>
  </si>
  <si>
    <t>Math.* (random, floor, ceil, round, max, min, abs)</t>
  </si>
  <si>
    <t>Random-in-range formula</t>
  </si>
  <si>
    <t>Date basics &amp; why you reach for a library</t>
  </si>
  <si>
    <t>Timezone pain; Temporal as the future answer</t>
  </si>
  <si>
    <t>WebGL / Three.js</t>
  </si>
  <si>
    <t>Scenes, cameras, meshes, materials, lighting, textures, render loops</t>
  </si>
  <si>
    <t>JSON.parse / JSON.stringify (incl. replacer, reviver, what's dropped)</t>
  </si>
  <si>
    <t>JSON.parse(JSON.stringify(x)) as a deep-clone — and its 5 failure modes</t>
  </si>
  <si>
    <t>structuredClone()</t>
  </si>
  <si>
    <t>The modern deep-clone answer</t>
  </si>
  <si>
    <t>Shaders and GPU work</t>
  </si>
  <si>
    <t>Buffers, shader programs, GPU constraints, profiling</t>
  </si>
  <si>
    <t>3.2 Coercion &amp; equality</t>
  </si>
  <si>
    <t>Truthy / falsy — the 8 falsy values</t>
  </si>
  <si>
    <t>Name all falsy values — extremely common</t>
  </si>
  <si>
    <t>ToString, ToNumber, ToBoolean, ToPrimitive</t>
  </si>
  <si>
    <t>The abstract operations behind the weirdness</t>
  </si>
  <si>
    <t>Loose vs strict equality (== vs ===)</t>
  </si>
  <si>
    <t>Guaranteed. [] == false, null == undefined, "" == 0</t>
  </si>
  <si>
    <t>Web Audio</t>
  </si>
  <si>
    <t>Audio graph, scheduling, user-gesture rules, cleanup</t>
  </si>
  <si>
    <t>When == is defensible</t>
  </si>
  <si>
    <t>Kyle Simpson's argument; nice to have an opinion</t>
  </si>
  <si>
    <t>Implicit coercion in +, -, comparison operators</t>
  </si>
  <si>
    <t>"5" + 3 vs "5" - 3</t>
  </si>
  <si>
    <t>Motion libraries</t>
  </si>
  <si>
    <t>Framer Motion: timeline, spring, gesture, layout animation, reduced motion</t>
  </si>
  <si>
    <t>Symbol.toPrimitive</t>
  </si>
  <si>
    <t>Explicit conversion: Number(), String(), Boolean(), parseInt, parseFloat, unary +, !!</t>
  </si>
  <si>
    <t>parseInt("08"), radix argument</t>
  </si>
  <si>
    <t>Scroll and view transitions</t>
  </si>
  <si>
    <t>Native and JS transitions, navigation integration, support, accessibility</t>
  </si>
  <si>
    <t>3.3 Variables &amp; scope</t>
  </si>
  <si>
    <t>var vs let vs const</t>
  </si>
  <si>
    <t>Named interview question in both syllabi. Scope, hoisting, redeclaration, TDZ</t>
  </si>
  <si>
    <t>const doesn't mean immutable</t>
  </si>
  <si>
    <t>Marketing-site motion</t>
  </si>
  <si>
    <t>Art direction, scroll choreography, asset budgets, graceful fallback</t>
  </si>
  <si>
    <t>Global / function / block scope</t>
  </si>
  <si>
    <t>Lexical scope &amp; the scope chain</t>
  </si>
  <si>
    <t>Practical graphics maths</t>
  </si>
  <si>
    <t>Vectors, interpolation, trigonometry, coordinate transforms, easing</t>
  </si>
  <si>
    <t>Hoisting — declarations vs initialisations; functions vs vars vs let/const</t>
  </si>
  <si>
    <t>Top-3 most-asked JS question</t>
  </si>
  <si>
    <t>Temporal Dead Zone</t>
  </si>
  <si>
    <t>WebAssembly integration</t>
  </si>
  <si>
    <t>Compile and load, memory boundaries, JS interop, when overhead wins</t>
  </si>
  <si>
    <t>Shadowing</t>
  </si>
  <si>
    <t>Mobile &amp; Desktop</t>
  </si>
  <si>
    <t>Implicit globals &amp; "use strict"</t>
  </si>
  <si>
    <t>Other targets</t>
  </si>
  <si>
    <t>React Native / Expo</t>
  </si>
  <si>
    <t>What strict mode changes</t>
  </si>
  <si>
    <t>Native components, navigation, styling, device APIs, app state, releases</t>
  </si>
  <si>
    <t>IIFE pattern</t>
  </si>
  <si>
    <t>Why it existed pre-modules</t>
  </si>
  <si>
    <t>The classic for (var i) + setTimeout loop bug</t>
  </si>
  <si>
    <t>Asked verbatim. Three fixes: let, IIFE, extra param</t>
  </si>
  <si>
    <t>Native app performance</t>
  </si>
  <si>
    <t>Rendering, lists, animations, networking, platform-specific debugging</t>
  </si>
  <si>
    <t>3.4 Operators &amp; control flow</t>
  </si>
  <si>
    <t>Arithmetic, assignment, comparison ops</t>
  </si>
  <si>
    <t>Operator precedence &amp; associativity</t>
  </si>
  <si>
    <t>Electron / desktop</t>
  </si>
  <si>
    <t>Main vs renderer boundary, IPC, permissions, packaging, updates</t>
  </si>
  <si>
    <t>Increment/decrement, pre vs post</t>
  </si>
  <si>
    <t>Logical &amp;&amp;, ||, !</t>
  </si>
  <si>
    <t>Browser extensions</t>
  </si>
  <si>
    <t>Manifest, permissions, content and background scripts, messaging, store policy</t>
  </si>
  <si>
    <t>Short-circuiting with &amp;&amp; / ||</t>
  </si>
  <si>
    <t>Both syllabi teach it as its own topic; React relies on it</t>
  </si>
  <si>
    <t>Nullish coalescing ?? and ??=</t>
  </si>
  <si>
    <t>?? vs || — the 0/"" trap</t>
  </si>
  <si>
    <t>Game / creative coding / IoT</t>
  </si>
  <si>
    <t>Render loops, device integration, physical interaction</t>
  </si>
  <si>
    <t>Optional chaining ?. (incl. ?.() and ?.[])</t>
  </si>
  <si>
    <t>Ternary, incl. nested/chained</t>
  </si>
  <si>
    <t>Editor and shell mastery</t>
  </si>
  <si>
    <t>Advanced Vim, Neovim, terminal automation, custom tooling — productivity electives</t>
  </si>
  <si>
    <t>if/else if/else, switch (fallthrough, break)</t>
  </si>
  <si>
    <t>Loops: for, while, do…while, break, continue, labels</t>
  </si>
  <si>
    <t>Security specialisation</t>
  </si>
  <si>
    <t>for…in vs for…of</t>
  </si>
  <si>
    <t>Threat modelling, OAuth/OIDC flows, passkeys, supply chain, security testing</t>
  </si>
  <si>
    <t>Direct comparison question. Keys vs values; why for…in on arrays is a bug</t>
  </si>
  <si>
    <t>Comma operator, void</t>
  </si>
  <si>
    <t>App Router</t>
  </si>
  <si>
    <t>App Router structure</t>
  </si>
  <si>
    <t>app dir, page, layout, loading, error, not-found, route files</t>
  </si>
  <si>
    <t>3.5 Functions</t>
  </si>
  <si>
    <t>Declarations vs expressions (and hoisting difference)</t>
  </si>
  <si>
    <t>Named function expressions</t>
  </si>
  <si>
    <t>File-based routes</t>
  </si>
  <si>
    <t>Static, dynamic, catch-all and optional catch-all segments</t>
  </si>
  <si>
    <t>Arrow functions: syntax, implicit return, no this/arguments/new/prototype</t>
  </si>
  <si>
    <t>When NOT to use an arrow function — very common</t>
  </si>
  <si>
    <t>Parameters vs arguments; arguments object</t>
  </si>
  <si>
    <t>Layouts and route groups</t>
  </si>
  <si>
    <t>Default parameters</t>
  </si>
  <si>
    <t>Shared UI, nesting, URL organisation, state persistence across navigation</t>
  </si>
  <si>
    <t>Rest parameters ...args</t>
  </si>
  <si>
    <t>Rest vs spread — named interview question in Scrimba</t>
  </si>
  <si>
    <t>Link and navigation APIs</t>
  </si>
  <si>
    <t>Spread syntax in calls, arrays, objects</t>
  </si>
  <si>
    <t>Programmatic navigation, route params, search params, prefetch behaviour</t>
  </si>
  <si>
    <t>Destructuring: array, object, nested, defaults, renaming, in parameters, swapping</t>
  </si>
  <si>
    <t>Named interview question. Very common in live coding</t>
  </si>
  <si>
    <t>Server / client boundary</t>
  </si>
  <si>
    <t>use client and use server, serialisation, browser-only APIs, secret isolation</t>
  </si>
  <si>
    <t>First-class functions</t>
  </si>
  <si>
    <t>Higher-order functions</t>
  </si>
  <si>
    <t>Server data fetching</t>
  </si>
  <si>
    <t>async server components, authorisation, typed data access, parallel requests</t>
  </si>
  <si>
    <t>Callbacks</t>
  </si>
  <si>
    <t>Pure functions &amp; side effects</t>
  </si>
  <si>
    <t>Foundation for the React answer</t>
  </si>
  <si>
    <t>Static vs dynamic rendering</t>
  </si>
  <si>
    <t>Request dependence, build-time output, freshness requirements</t>
  </si>
  <si>
    <t>Recursion &amp; base cases</t>
  </si>
  <si>
    <t>Flatten, deep clone, tree traversal</t>
  </si>
  <si>
    <t>Streaming and Suspense boundaries</t>
  </si>
  <si>
    <t>Useful loading boundaries without creating waterfalls</t>
  </si>
  <si>
    <t>Currying &amp; partial application</t>
  </si>
  <si>
    <t>sum(1)(2)(3) — a live-coding staple</t>
  </si>
  <si>
    <t>Function composition / pipe</t>
  </si>
  <si>
    <t>Server actions</t>
  </si>
  <si>
    <t>Async server mutations, input validation, authorisation, errors, pending state</t>
  </si>
  <si>
    <t>call, apply, bind</t>
  </si>
  <si>
    <t>Implement your own bind is a classic</t>
  </si>
  <si>
    <t>Immediately-returned closures / function factories</t>
  </si>
  <si>
    <t>Action form APIs</t>
  </si>
  <si>
    <t>useActionState, useFormStatus, useOptimistic, progressive behaviour</t>
  </si>
  <si>
    <t>Generator functions &amp; yield</t>
  </si>
  <si>
    <t>Iterators, lazy sequences</t>
  </si>
  <si>
    <t>Route handlers</t>
  </si>
  <si>
    <t>Request/Response, methods, status, headers, JSON and form data</t>
  </si>
  <si>
    <t>Memoization</t>
  </si>
  <si>
    <t>Write a generic memoize</t>
  </si>
  <si>
    <t>Caching and revalidation</t>
  </si>
  <si>
    <t>Debounce</t>
  </si>
  <si>
    <t>Implement from scratch — single most common polyfill ask. FEM's interview-prep course opens with it</t>
  </si>
  <si>
    <t>Check what your installed release caches by default; set explicit lifetime and invalidation</t>
  </si>
  <si>
    <t>Throttle</t>
  </si>
  <si>
    <t>Same; know leading vs trailing edge</t>
  </si>
  <si>
    <t>User-specific data safety</t>
  </si>
  <si>
    <t>The cross-user cache leak is the dangerous Next.js mistake</t>
  </si>
  <si>
    <t>once, rate-limit, retry helpers</t>
  </si>
  <si>
    <t>3.6 Closures</t>
  </si>
  <si>
    <t>What a closure is (the "backpack")</t>
  </si>
  <si>
    <t>Top-3 most-asked JS question, at every level</t>
  </si>
  <si>
    <t>Authentication integration</t>
  </si>
  <si>
    <t>Cookies and session, protected server operations, sign-in and sign-out</t>
  </si>
  <si>
    <t>Closure over variables, not values</t>
  </si>
  <si>
    <t>Why the loop bug happens</t>
  </si>
  <si>
    <t>Multiple independent closures</t>
  </si>
  <si>
    <t>Metadata and SEO</t>
  </si>
  <si>
    <t>Counter factory</t>
  </si>
  <si>
    <t>Page metadata, canonical URLs, sitemap and robots</t>
  </si>
  <si>
    <t>Private state via closure</t>
  </si>
  <si>
    <t>next/image and next/font</t>
  </si>
  <si>
    <t>Sizing, priority, source rules, stable layout</t>
  </si>
  <si>
    <t>Module pattern</t>
  </si>
  <si>
    <t>Closures and memory retention</t>
  </si>
  <si>
    <t>Leads to the memory-leak question</t>
  </si>
  <si>
    <t>Database-backed pages</t>
  </si>
  <si>
    <t>Data access layer, validation, search, sorting, pagination</t>
  </si>
  <si>
    <t>3.7 Objects</t>
  </si>
  <si>
    <t>Literals, dot vs bracket access</t>
  </si>
  <si>
    <t>When bracket notation is mandatory</t>
  </si>
  <si>
    <t>Adding / updating / delete</t>
  </si>
  <si>
    <t>Hydration debugging</t>
  </si>
  <si>
    <t>Time, randomness, browser-only state, invalid HTML, mismatched initial data</t>
  </si>
  <si>
    <t>Computed property names</t>
  </si>
  <si>
    <t>Shorthand properties &amp; methods</t>
  </si>
  <si>
    <t>Deployment</t>
  </si>
  <si>
    <t>Build vs runtime variables, server hosting vs static export, production logs</t>
  </si>
  <si>
    <t>Nested objects &amp; safe access (?.)</t>
  </si>
  <si>
    <t>Pages Router maintenance</t>
  </si>
  <si>
    <t>Object.keys / .values / .entries / .fromEntries</t>
  </si>
  <si>
    <t>getServerSideProps / getStaticProps / getStaticPaths and API routes in older code</t>
  </si>
  <si>
    <t>Object.assign vs spread</t>
  </si>
  <si>
    <t>Both are shallow — say so</t>
  </si>
  <si>
    <t>Shallow vs deep copy</t>
  </si>
  <si>
    <t>Implement deepClone — extremely common</t>
  </si>
  <si>
    <t>Parallel and intercepting routes</t>
  </si>
  <si>
    <t>Route slots, modal navigation, direct-load vs client-navigation behaviour</t>
  </si>
  <si>
    <t>Object.freeze / .seal (shallow)</t>
  </si>
  <si>
    <t>Object.defineProperty, descriptors, getters/setters</t>
  </si>
  <si>
    <t>writable/enumerable/configurable</t>
  </si>
  <si>
    <t>Advanced cache composition</t>
  </si>
  <si>
    <t>Request memoisation, data cache, route cache, client cache and their interactions</t>
  </si>
  <si>
    <t>hasOwnProperty vs in vs Object.hasOwn</t>
  </si>
  <si>
    <t>Property order rules</t>
  </si>
  <si>
    <t>Integer keys sort first</t>
  </si>
  <si>
    <t>Partial prerendering</t>
  </si>
  <si>
    <t>Version-specific rendering and caching boundaries</t>
  </si>
  <si>
    <t>Optional chaining + nullish defaults on objects</t>
  </si>
  <si>
    <t>Runtime selection</t>
  </si>
  <si>
    <t>Map vs plain object</t>
  </si>
  <si>
    <t>Direct comparison question. Key types, ordering, size, iteration</t>
  </si>
  <si>
    <t>Node vs edge capabilities, dependency limits, latency, deployment topology</t>
  </si>
  <si>
    <t>Set</t>
  </si>
  <si>
    <t>Dedupe an array in one line</t>
  </si>
  <si>
    <t>SSR under failure</t>
  </si>
  <si>
    <t>Streaming errors, timeout and cancellation, observability, partial responses</t>
  </si>
  <si>
    <t>WeakMap / WeakSet</t>
  </si>
  <si>
    <t>Private data, caching without leaks</t>
  </si>
  <si>
    <t>Proxy &amp; Reflect</t>
  </si>
  <si>
    <t>Vue 3 reactivity is built on it — good Vue→React talking point</t>
  </si>
  <si>
    <t>RSC infrastructure internals</t>
  </si>
  <si>
    <t>Optional: Symbol.iterator — making an object iterable</t>
  </si>
  <si>
    <t>Transport and bundler integration at framework level</t>
  </si>
  <si>
    <t>3.8 Arrays &amp; iteration</t>
  </si>
  <si>
    <t>Creation, indexing, length, sparse arrays</t>
  </si>
  <si>
    <t>React ecosystem</t>
  </si>
  <si>
    <t>Libraries</t>
  </si>
  <si>
    <t>Mutating: push, pop, shift, unshift, splice, sort, reverse, fill, copyWithin</t>
  </si>
  <si>
    <t>Redux fundamentals</t>
  </si>
  <si>
    <t>splice vs slice — asked constantly</t>
  </si>
  <si>
    <t>Store, actions, reducers, dispatch, selectors, predictable update flow</t>
  </si>
  <si>
    <t>Non-mutating: slice, concat, join, at, toSorted, toReversed, toSpliced, with</t>
  </si>
  <si>
    <t>The to* methods are the modern answer for React state</t>
  </si>
  <si>
    <t>Redux Toolkit</t>
  </si>
  <si>
    <t>configureStore, createSlice, Immer-backed reducers, typed hooks</t>
  </si>
  <si>
    <t>map</t>
  </si>
  <si>
    <t>Implement your own map</t>
  </si>
  <si>
    <t>filter</t>
  </si>
  <si>
    <t>Implement your own filter</t>
  </si>
  <si>
    <t>Redux async work</t>
  </si>
  <si>
    <t>createAsyncThunk lifecycle, request status, cancellation and errors</t>
  </si>
  <si>
    <t>reduce (incl. with objects, and as a map/filter replacement)</t>
  </si>
  <si>
    <t>Implement your own reduce. Group-by, count-by, flatten</t>
  </si>
  <si>
    <t>forEach vs map</t>
  </si>
  <si>
    <t>Redux selectors</t>
  </si>
  <si>
    <t>Direct comparison question. Return value, chainability, no early exit</t>
  </si>
  <si>
    <t>Derived data, memoisation, stable results, unnecessary subscriptions</t>
  </si>
  <si>
    <t>find, findIndex, findLast, includes, indexOf</t>
  </si>
  <si>
    <t>includes vs indexOf for NaN</t>
  </si>
  <si>
    <t>some, every</t>
  </si>
  <si>
    <t>RTK Query</t>
  </si>
  <si>
    <t>Endpoints, queries and mutations, caching, tags, invalidation</t>
  </si>
  <si>
    <t>flat, flatMap</t>
  </si>
  <si>
    <t>Implement flatten(arr, depth) — very common</t>
  </si>
  <si>
    <t>TanStack Query</t>
  </si>
  <si>
    <t>Keys, staleTime, gcTime, enabled queries, retry policy</t>
  </si>
  <si>
    <t>sort — comparator, stability, lexicographic default</t>
  </si>
  <si>
    <t>Why [10,9,1].sort() gives [1,10,9]</t>
  </si>
  <si>
    <t>Array.from (incl. {length} + map fn), Array.of</t>
  </si>
  <si>
    <t>TanStack Query updates</t>
  </si>
  <si>
    <t>Invalidate vs setQueryData, pagination, optimistic rollback, prefetch</t>
  </si>
  <si>
    <t>Array.isArray</t>
  </si>
  <si>
    <t>Why typeof [] is useless</t>
  </si>
  <si>
    <t>Destructuring + spread on arrays</t>
  </si>
  <si>
    <t>Zustand</t>
  </si>
  <si>
    <t>Store creation, selectors, updates, persistence, subscription cleanup</t>
  </si>
  <si>
    <t>Array-likes &amp; NodeList → array</t>
  </si>
  <si>
    <t>[...nodeList] / Array.from</t>
  </si>
  <si>
    <t>Atomic state libraries</t>
  </si>
  <si>
    <t>Jotai, Recoil, signals, proxy reactivity — choose by real need</t>
  </si>
  <si>
    <t>Chaining and its perf cost</t>
  </si>
  <si>
    <t>Iterables, iterators, the iterator protocol</t>
  </si>
  <si>
    <t>React Router</t>
  </si>
  <si>
    <t>Declarative, data or framework mode — match the installed version</t>
  </si>
  <si>
    <t>Typed arrays / ArrayBuffer</t>
  </si>
  <si>
    <t>3.9 `this`, prototypes &amp; classes</t>
  </si>
  <si>
    <t>The 4 binding rules (default, implicit, explicit, new) + precedence</t>
  </si>
  <si>
    <t>Top-5 JS question. "What is this here?"</t>
  </si>
  <si>
    <t>TanStack Router</t>
  </si>
  <si>
    <t>Typed routes and search params, loaders, navigation</t>
  </si>
  <si>
    <t>this in a standalone function, strict vs sloppy</t>
  </si>
  <si>
    <t>TanStack Start</t>
  </si>
  <si>
    <t>Server functions, full-stack routing, rendering, query integration</t>
  </si>
  <si>
    <t>Losing this on method extraction</t>
  </si>
  <si>
    <t>The callback bug; fixes via bind/arrow</t>
  </si>
  <si>
    <t>React Hook Form</t>
  </si>
  <si>
    <t>Registration, controllers, validation, field arrays, errors</t>
  </si>
  <si>
    <t>Arrow functions &amp; lexical this</t>
  </si>
  <si>
    <t>Zod / schema validation</t>
  </si>
  <si>
    <t>Schemas, parsing, issues, type inference, boundary validation</t>
  </si>
  <si>
    <t>this in event handlers</t>
  </si>
  <si>
    <t>Tailwind CSS</t>
  </si>
  <si>
    <t>Utility composition, breakpoints, state variants, theme tokens, class discovery</t>
  </si>
  <si>
    <t>Prototype chain &amp; [[Prototype]]</t>
  </si>
  <si>
    <t>Guaranteed at 2+ YOE. Draw the lookup</t>
  </si>
  <si>
    <t>Sass</t>
  </si>
  <si>
    <t>Variables, nesting, mixins, functions, modules</t>
  </si>
  <si>
    <t>__proto__ vs .prototype</t>
  </si>
  <si>
    <t>The distinction trips most candidates</t>
  </si>
  <si>
    <t>Object.create, Object.getPrototypeOf, setPrototypeOf</t>
  </si>
  <si>
    <t>Bootstrap</t>
  </si>
  <si>
    <t>Grid, utilities, components, theming — mostly legacy maintenance now</t>
  </si>
  <si>
    <t>Constructor functions &amp; the new keyword (all 4 steps)</t>
  </si>
  <si>
    <t>Implement your own new</t>
  </si>
  <si>
    <t>Component libraries</t>
  </si>
  <si>
    <t>MUI, Chakra, shadcn/ui, Radix — theme overrides and accessible composition</t>
  </si>
  <si>
    <t>instanceof</t>
  </si>
  <si>
    <t>Storybook</t>
  </si>
  <si>
    <t>Isolated stories, variants, docs, interaction and a11y checks</t>
  </si>
  <si>
    <t>Shadowing on the prototype chain</t>
  </si>
  <si>
    <t>class syntax: constructor, methods, static, getters/setters</t>
  </si>
  <si>
    <t>GraphQL client</t>
  </si>
  <si>
    <t>Classes are syntactic sugar — say it</t>
  </si>
  <si>
    <t>Operations, variables, fragments, normalised cache, mutation updates, pagination</t>
  </si>
  <si>
    <t>extends, super</t>
  </si>
  <si>
    <t>Firebase</t>
  </si>
  <si>
    <t>Auth, Firestore / realtime data, subscriptions, security rules</t>
  </si>
  <si>
    <t>Public / private (#field) / static fields</t>
  </si>
  <si>
    <t>Supabase</t>
  </si>
  <si>
    <t>Client setup, auth, tables, realtime, row-level security</t>
  </si>
  <si>
    <t>Prototypal vs classical inheritance; delegation / OLOO</t>
  </si>
  <si>
    <t>i18n library</t>
  </si>
  <si>
    <t>Message keys, interpolation, pluralisation, locale switching, fallback</t>
  </si>
  <si>
    <t>Composition over inheritance</t>
  </si>
  <si>
    <t>The expected opinion, especially for React</t>
  </si>
  <si>
    <t>XState / statecharts</t>
  </si>
  <si>
    <t>Guards, parallel and hierarchical states, actors, effects</t>
  </si>
  <si>
    <t>Mixins</t>
  </si>
  <si>
    <t>3.10 Modules</t>
  </si>
  <si>
    <t>ES Modules: import / export</t>
  </si>
  <si>
    <t>Design-system component APIs</t>
  </si>
  <si>
    <t>Variants, slots, controlled/uncontrolled contracts, accessibility, compatibility</t>
  </si>
  <si>
    <t>Named vs default exports (and which to prefer)</t>
  </si>
  <si>
    <t>Tree-shaking &amp; refactor-safety argument</t>
  </si>
  <si>
    <t>Polymorphic React typing</t>
  </si>
  <si>
    <t>Generic components, as-prop and ref inference, mutually exclusive props</t>
  </si>
  <si>
    <t>Re-exports &amp; barrel files (and their cost)</t>
  </si>
  <si>
    <t>Legacy React migration</t>
  </si>
  <si>
    <t>Class, HOC and render-prop code; sequencing and behaviour-preserving tests</t>
  </si>
  <si>
    <t>Dynamic import()</t>
  </si>
  <si>
    <t>The basis of code splitting / React.lazy</t>
  </si>
  <si>
    <t>Module scope &amp; singleton semantics</t>
  </si>
  <si>
    <t>Modules are evaluated once and cached</t>
  </si>
  <si>
    <t>Svelte, Astro &amp; WC</t>
  </si>
  <si>
    <t>Other frameworks</t>
  </si>
  <si>
    <t>Svelte components</t>
  </si>
  <si>
    <t>Markup, script, styles, props, conditionals, keyed lists</t>
  </si>
  <si>
    <t>ESM vs CommonJS (require/module.exports)</t>
  </si>
  <si>
    <t>Static vs dynamic, sync vs async, interop pain</t>
  </si>
  <si>
    <t>type="module" (deferred by default, strict mode, CORS)</t>
  </si>
  <si>
    <t>Svelte runes</t>
  </si>
  <si>
    <t>$state, $derived, $effect, $props and reactive ownership</t>
  </si>
  <si>
    <t>Circular dependencies</t>
  </si>
  <si>
    <t>Import maps</t>
  </si>
  <si>
    <t>3.11 Errors &amp; debugging</t>
  </si>
  <si>
    <t>try / catch / finally / throw</t>
  </si>
  <si>
    <t>Svelte events and bindings</t>
  </si>
  <si>
    <t>finally runs even after return</t>
  </si>
  <si>
    <t>Event attributes, bind directives, component communication</t>
  </si>
  <si>
    <t>Error types: TypeError, ReferenceError, SyntaxError, RangeError</t>
  </si>
  <si>
    <t>Which one for which bug</t>
  </si>
  <si>
    <t>Error object; custom errors via extends Error</t>
  </si>
  <si>
    <t>Svelte effects</t>
  </si>
  <si>
    <t>Cleanup, derived-state alternatives, browser integration</t>
  </si>
  <si>
    <t>error.cause</t>
  </si>
  <si>
    <t>Reusable Svelte behaviour</t>
  </si>
  <si>
    <t>Snippets, context, actions and attachments</t>
  </si>
  <si>
    <t>Errors in async code — try/catch with await, .catch()</t>
  </si>
  <si>
    <t>Why try/catch doesn't catch inside a setTimeout callback</t>
  </si>
  <si>
    <t>window.onerror / unhandledrejection</t>
  </si>
  <si>
    <t>Global error reporting</t>
  </si>
  <si>
    <t>Svelte stores and legacy syntax</t>
  </si>
  <si>
    <t>Maintain older reactive declarations and store-based code</t>
  </si>
  <si>
    <t>console beyond .log: table, dir, time, trace, group, count, assert</t>
  </si>
  <si>
    <t>debugger statement &amp; breakpoints</t>
  </si>
  <si>
    <t>SvelteKit routing</t>
  </si>
  <si>
    <t>Pages and layouts, params, server routes, errors</t>
  </si>
  <si>
    <t>Reading a stack trace; source maps</t>
  </si>
  <si>
    <t>Defensive coding &amp; failing fast</t>
  </si>
  <si>
    <t>SvelteKit load and form actions</t>
  </si>
  <si>
    <t>Server vs universal data, actions, validation, progressive enhancement</t>
  </si>
  <si>
    <t>3.12 Functional patterns &amp; immutability</t>
  </si>
  <si>
    <t>Immutability &amp; why React demands it</t>
  </si>
  <si>
    <t>The bridge question into React state</t>
  </si>
  <si>
    <t>Immutable array updates (map/filter/spread/to*)</t>
  </si>
  <si>
    <t>"Update item at index N without mutating"</t>
  </si>
  <si>
    <t>SvelteKit auth</t>
  </si>
  <si>
    <t>Server-only modules, cookies and session, protected operations</t>
  </si>
  <si>
    <t>Immutable nested object updates</t>
  </si>
  <si>
    <t>The spread-ladder</t>
  </si>
  <si>
    <t>Immer / produce</t>
  </si>
  <si>
    <t>Redux Toolkit uses it under the hood</t>
  </si>
  <si>
    <t>SvelteKit remote functions</t>
  </si>
  <si>
    <t>Version-specific server interactions and validation</t>
  </si>
  <si>
    <t>Declarative vs imperative</t>
  </si>
  <si>
    <t>SvelteKit deployment</t>
  </si>
  <si>
    <t>Adapters, prerendering, SSR/CSR settings, runtime config</t>
  </si>
  <si>
    <t>Referential transparency</t>
  </si>
  <si>
    <t>Point-free style</t>
  </si>
  <si>
    <t>Svelte testing and a11y</t>
  </si>
  <si>
    <t>Component behaviour, keyboard flow, hydration checks</t>
  </si>
  <si>
    <t>3.13 Regular expressions</t>
  </si>
  <si>
    <t>Literal vs RegExp constructor</t>
  </si>
  <si>
    <t>Character classes, quantifiers, anchors, groups, alternation</t>
  </si>
  <si>
    <t>Astro fundamentals</t>
  </si>
  <si>
    <t>Pages, layouts, components, assets, Markdown, content sites</t>
  </si>
  <si>
    <t>Flags g, i, m, s, u, y</t>
  </si>
  <si>
    <t>The lastIndex gotcha with /g</t>
  </si>
  <si>
    <t>test, match, matchAll, replace with a function, split</t>
  </si>
  <si>
    <t>Astro islands</t>
  </si>
  <si>
    <t>Selective hydration and client directives; keep static content static</t>
  </si>
  <si>
    <t>Capture groups &amp; named groups</t>
  </si>
  <si>
    <t>Astro content collections</t>
  </si>
  <si>
    <t>Schema validation and content rendering</t>
  </si>
  <si>
    <t>Lookahead / lookbehind</t>
  </si>
  <si>
    <t>Password-validation questions</t>
  </si>
  <si>
    <t>Catastrophic backtracking (ReDoS)</t>
  </si>
  <si>
    <t>Astro server behaviour</t>
  </si>
  <si>
    <t>3.14 Memory &amp; runtime behaviour</t>
  </si>
  <si>
    <t>Stack vs heap</t>
  </si>
  <si>
    <t>SSR adapters, endpoints, server/client boundaries</t>
  </si>
  <si>
    <t>Where primitives vs objects live</t>
  </si>
  <si>
    <t>Garbage collection (mark &amp; sweep, reachability)</t>
  </si>
  <si>
    <t>Custom elements</t>
  </si>
  <si>
    <t>Lifecycle callbacks, attributes vs properties, events</t>
  </si>
  <si>
    <t>Common memory leaks</t>
  </si>
  <si>
    <t>Detached DOM nodes, forgotten listeners/intervals, stale closures, growing caches</t>
  </si>
  <si>
    <t>Execution context &amp; call stack</t>
  </si>
  <si>
    <t>Feeds the event-loop answer</t>
  </si>
  <si>
    <t>Shadow DOM and slots</t>
  </si>
  <si>
    <t>Style encapsulation, composition, event retargeting, accessible integration</t>
  </si>
  <si>
    <t>"Maximum call stack size exceeded"</t>
  </si>
  <si>
    <t>Other reactivity models</t>
  </si>
  <si>
    <t>Fine-grained signals, resumability, islands, compiler-driven rendering</t>
  </si>
  <si>
    <t>Where to handle an error</t>
  </si>
  <si>
    <t>Recover, retry, display or propagate — decide deliberately per layer</t>
  </si>
  <si>
    <t>Why it makes testing, caching and reasoning easier</t>
  </si>
  <si>
    <t>Imba</t>
  </si>
  <si>
    <t>Compile-to-JS language with its own component and style model</t>
  </si>
  <si>
    <t>Separate calculation from effects</t>
  </si>
  <si>
    <t>Keep domain logic independent of DOM, network and storage</t>
  </si>
  <si>
    <t>Clean-code judgment</t>
  </si>
  <si>
    <t>Clear names, small cohesive functions, guard clauses, restrained abstraction</t>
  </si>
  <si>
    <t>Older framework maintenance</t>
  </si>
  <si>
    <t>Ember, Vue 2, older Angular, older React routers</t>
  </si>
  <si>
    <t>Unicode awareness</t>
  </si>
  <si>
    <t>Code units vs characters; emoji and accents break the length-one assumption</t>
  </si>
  <si>
    <t>Intl formatting</t>
  </si>
  <si>
    <t>Dates, numbers, currency and collation without hardcoded locale assumptions</t>
  </si>
  <si>
    <t>Framework migration strategy</t>
  </si>
  <si>
    <t>Boundary adapters, incremental replacement, routing and state interop</t>
  </si>
  <si>
    <t>Property descriptors in the wild</t>
  </si>
  <si>
    <t>enumerable, writable, configurable — why some properties behave oddly</t>
  </si>
  <si>
    <t>Live bindings</t>
  </si>
  <si>
    <t>Vue &amp; Nuxt</t>
  </si>
  <si>
    <t>Vue branch</t>
  </si>
  <si>
    <t>Imports are not plain copies; understand it without memorising cycle puzzles</t>
  </si>
  <si>
    <t>Vue setup</t>
  </si>
  <si>
    <t>App mounting, single-file components, build workflow</t>
  </si>
  <si>
    <t>Side effects vs tree shaking</t>
  </si>
  <si>
    <t>Why an unused import can still pull in work</t>
  </si>
  <si>
    <t>Templates and directives</t>
  </si>
  <si>
    <t>Interpolation, v-bind, v-on, v-if/v-show, v-for, keys</t>
  </si>
  <si>
    <t>Stack and heap as a model</t>
  </si>
  <si>
    <t>A useful mental model, not a mandated physical layout — say it that way</t>
  </si>
  <si>
    <t>4.1 The DOM</t>
  </si>
  <si>
    <t>What the DOM is; DOM vs HTML source vs render tree</t>
  </si>
  <si>
    <t>"Is the DOM the HTML?" — no.</t>
  </si>
  <si>
    <t>Components</t>
  </si>
  <si>
    <t>Props, emits, parent/child flow, prop immutability</t>
  </si>
  <si>
    <t>Node types: element, text, comment, document, fragment</t>
  </si>
  <si>
    <t>Why whitespace text nodes bite you</t>
  </si>
  <si>
    <t>getElementById, getElementsByClassName, getElementsByTagName</t>
  </si>
  <si>
    <t>v-model</t>
  </si>
  <si>
    <t>Form bindings and controlled component contracts</t>
  </si>
  <si>
    <t>querySelector / querySelectorAll</t>
  </si>
  <si>
    <t>Composition API</t>
  </si>
  <si>
    <t>Live HTMLCollection vs static NodeList</t>
  </si>
  <si>
    <t>Direct question. Why looping + removing breaks with one and not the other</t>
  </si>
  <si>
    <t>setup / script setup, organising related logic</t>
  </si>
  <si>
    <t>Scoping queries to an element, not document</t>
  </si>
  <si>
    <t>ref vs reactive</t>
  </si>
  <si>
    <t>Value access, unwrapping, destructuring traps</t>
  </si>
  <si>
    <t>Traversal: parentElement, children, childNodes, nextElementSibling, closest, matches, contains</t>
  </si>
  <si>
    <t>closest() is essential for event delegation</t>
  </si>
  <si>
    <t>textContent vs innerText vs innerHTML</t>
  </si>
  <si>
    <t>Guaranteed question. Performance, layout-triggering, and XSS</t>
  </si>
  <si>
    <t>Computed values</t>
  </si>
  <si>
    <t>Derived state, caching, purity</t>
  </si>
  <si>
    <t>innerHTML and XSS</t>
  </si>
  <si>
    <t>Both syllabi flag "the dangers of innerHTML" explicitly</t>
  </si>
  <si>
    <t>createElement, append/appendChild, prepend, insertBefore, insertAdjacentHTML/Element</t>
  </si>
  <si>
    <t>watch vs watchEffect</t>
  </si>
  <si>
    <t>Dependency semantics, cleanup, async requests, avoiding loops</t>
  </si>
  <si>
    <t>remove, removeChild, replaceWith, cloneNode</t>
  </si>
  <si>
    <t>DocumentFragment for batched inserts</t>
  </si>
  <si>
    <t>The perf answer to "render 1000 rows"</t>
  </si>
  <si>
    <t>Mount, update, unmount, cleanup</t>
  </si>
  <si>
    <t>Slots</t>
  </si>
  <si>
    <t>Default, named and scoped slots</t>
  </si>
  <si>
    <t>Attributes vs properties (getAttribute vs .value)</t>
  </si>
  <si>
    <t>The checked/value divergence — a classic</t>
  </si>
  <si>
    <t>classList: add, remove, toggle, contains, replace</t>
  </si>
  <si>
    <t>Composables</t>
  </si>
  <si>
    <t>element.style vs stylesheets; getComputedStyle</t>
  </si>
  <si>
    <t>Why el.style.color is empty for CSS-set values</t>
  </si>
  <si>
    <t>Reusable reactive behaviour with lifecycle-aware cleanup</t>
  </si>
  <si>
    <t>dataset</t>
  </si>
  <si>
    <t>provide / inject</t>
  </si>
  <si>
    <t>Geometry: getBoundingClientRect, offsetWidth, clientHeight, scrollTop</t>
  </si>
  <si>
    <t>Contextual dependencies with explicit contracts</t>
  </si>
  <si>
    <t>Which ones force reflow</t>
  </si>
  <si>
    <t>scrollIntoView, scrollTo</t>
  </si>
  <si>
    <t>Vue Router</t>
  </si>
  <si>
    <t>Nested and dynamic routes, query params, guards, lazy loading</t>
  </si>
  <si>
    <t>Focus: .focus(), .blur(), document.activeElement</t>
  </si>
  <si>
    <t>template element</t>
  </si>
  <si>
    <t>Pinia</t>
  </si>
  <si>
    <t>Stores, state, getters, actions</t>
  </si>
  <si>
    <t>Document ready: DOMContentLoaded vs load</t>
  </si>
  <si>
    <t>Direct comparison question</t>
  </si>
  <si>
    <t>4.2 Events</t>
  </si>
  <si>
    <t>addEventListener vs inline onclick vs el.onclick</t>
  </si>
  <si>
    <t>Why only one handler survives with onclick</t>
  </si>
  <si>
    <t>Vue with TypeScript</t>
  </si>
  <si>
    <t>Props, emits, ref and composable types; external-data validation</t>
  </si>
  <si>
    <t>The event object; target vs currentTarget</t>
  </si>
  <si>
    <t>Asked constantly</t>
  </si>
  <si>
    <t>Forms and validation</t>
  </si>
  <si>
    <t>Native semantics, reusable fields, pending and error states</t>
  </si>
  <si>
    <t>Event flow: capture → target → bubble</t>
  </si>
  <si>
    <t>Top-5 DOM question. Draw the three phases</t>
  </si>
  <si>
    <t>addEventListener options: capture, once, passive, signal</t>
  </si>
  <si>
    <t>passive: true for scroll perf</t>
  </si>
  <si>
    <t>Template refs and defineExpose</t>
  </si>
  <si>
    <t>Narrow imperative access where genuinely needed</t>
  </si>
  <si>
    <t>stopPropagation vs stopImmediatePropagation vs preventDefault</t>
  </si>
  <si>
    <t>Guaranteed. Know all three distinctly</t>
  </si>
  <si>
    <t>Event delegation</t>
  </si>
  <si>
    <t>Implement it live. Why it matters for dynamic lists</t>
  </si>
  <si>
    <t>Vue testing</t>
  </si>
  <si>
    <t>Mounting, interactions, router and store setup, async state</t>
  </si>
  <si>
    <t>removeEventListener and why the same reference matters</t>
  </si>
  <si>
    <t>Memory-leak follow-up</t>
  </si>
  <si>
    <t>Which events bubble and which don't</t>
  </si>
  <si>
    <t>focus/blur vs focusin/focusout</t>
  </si>
  <si>
    <t>Options API maintenance</t>
  </si>
  <si>
    <t>data, methods, computed, watch — and how they map to Composition API</t>
  </si>
  <si>
    <t>Mouse events: click, dblclick, mousedown/up/move/enter/leave/over/out</t>
  </si>
  <si>
    <t>mouseenter vs mouseover</t>
  </si>
  <si>
    <t>Keyboard: keydown/keyup, event.key, code, modifier flags</t>
  </si>
  <si>
    <t>(keypress is deprecated)</t>
  </si>
  <si>
    <t>Nuxt fundamentals</t>
  </si>
  <si>
    <t>Pages and layouts, auto imports, server routes, rendering, deployment</t>
  </si>
  <si>
    <t>Form events: input, change, submit, focus, blur, reset</t>
  </si>
  <si>
    <t>input vs change — asked often</t>
  </si>
  <si>
    <t>Nuxt data fetching</t>
  </si>
  <si>
    <t>Server/client consistency, keys, errors, request context</t>
  </si>
  <si>
    <t>Pointer &amp; touch events</t>
  </si>
  <si>
    <t>scroll, resize — and debouncing/throttling them</t>
  </si>
  <si>
    <t>Reactivity optimisation</t>
  </si>
  <si>
    <t>shallowRef, proxy boundaries, large immutable data, update profiling</t>
  </si>
  <si>
    <t>Window: load, beforeunload, visibilitychange, online/offline</t>
  </si>
  <si>
    <t>Advanced Vue composition</t>
  </si>
  <si>
    <t>Custom events (CustomEvent, dispatchEvent, detail)</t>
  </si>
  <si>
    <t>Cross-component comms without a framework</t>
  </si>
  <si>
    <t>Factories, state sharing, plugin contracts, component-library APIs</t>
  </si>
  <si>
    <t>AbortController for listener cleanup</t>
  </si>
  <si>
    <t>Modern, and shows up in React cleanup answers</t>
  </si>
  <si>
    <t>Nuxt SSR and cache architecture</t>
  </si>
  <si>
    <t>Request isolation, hydration, auth, deployment behaviour</t>
  </si>
  <si>
    <t>Default actions and when to prevent them</t>
  </si>
  <si>
    <t>Form submit, anchor navigation</t>
  </si>
  <si>
    <t>4.3 Browser storage &amp; state</t>
  </si>
  <si>
    <t>localStorage — API, string-only, JSON.stringify round-trip</t>
  </si>
  <si>
    <t>Vue compiler internals</t>
  </si>
  <si>
    <t>Dependency collection, scheduling, compiler optimisations</t>
  </si>
  <si>
    <t>sessionStorage</t>
  </si>
  <si>
    <t>Cookies vs localStorage vs sessionStorage</t>
  </si>
  <si>
    <t>Guaranteed comparison. Size, expiry, server-visibility, scope</t>
  </si>
  <si>
    <t>Cookie attributes: HttpOnly, Secure, SameSite, Domain, Path, Expires/Max-Age</t>
  </si>
  <si>
    <t>The auth-storage discussion lives here</t>
  </si>
  <si>
    <t>Storage limits &amp; quota errors</t>
  </si>
  <si>
    <t>~5MB; wrap access in try/catch</t>
  </si>
  <si>
    <t>storage event for cross-tab sync</t>
  </si>
  <si>
    <t>IndexedDB (what it's for)</t>
  </si>
  <si>
    <t>Large/structured/offline data</t>
  </si>
  <si>
    <t>Cache API &amp; Service Worker storage</t>
  </si>
  <si>
    <t>Awareness level at 3 YOE</t>
  </si>
  <si>
    <t>URL as state: URLSearchParams, location, history.pushState/replaceState, popstate</t>
  </si>
  <si>
    <t>Foundation of client-side routing; also a good React answer</t>
  </si>
  <si>
    <t>4.4 Rendering &amp; the browser runtime</t>
  </si>
  <si>
    <t>Reflow (layout) vs repaint vs composite</t>
  </si>
  <si>
    <t>Which CSS properties trigger which</t>
  </si>
  <si>
    <t>Layout thrashing (read/write interleaving)</t>
  </si>
  <si>
    <t>Batch reads then writes</t>
  </si>
  <si>
    <t>requestAnimationFrame</t>
  </si>
  <si>
    <t>vs setTimeout / setInterval for animation</t>
  </si>
  <si>
    <t>requestIdleCallback</t>
  </si>
  <si>
    <t>The main thread; long tasks; jank; 60fps budget (~16ms)</t>
  </si>
  <si>
    <t>IntersectionObserver</t>
  </si>
  <si>
    <t>Infinite scroll &amp; lazy loading — a machine-coding staple</t>
  </si>
  <si>
    <t>ResizeObserver</t>
  </si>
  <si>
    <t>MutationObserver</t>
  </si>
  <si>
    <t>PerformanceObserver &amp; the Performance API</t>
  </si>
  <si>
    <t>How you measure Core Web Vitals in code</t>
  </si>
  <si>
    <t>Web Workers (what they're for, postMessage, no DOM access)</t>
  </si>
  <si>
    <t>Offloading heavy computation</t>
  </si>
  <si>
    <t>navigator.*: clipboard, geolocation, share, onLine</t>
  </si>
  <si>
    <t>Notification, matchMedia, Intl</t>
  </si>
  <si>
    <t>matchMedia for JS-side breakpoints; Intl for i18n formatting</t>
  </si>
  <si>
    <t>crypto.randomUUID()</t>
  </si>
  <si>
    <t>Key generation in lists</t>
  </si>
  <si>
    <t>Web Components: custom elements, shadow DOM, slots, templates</t>
  </si>
  <si>
    <t>Asked as "how does this compare to React components"</t>
  </si>
  <si>
    <t>4.5 DevTools &amp; debugging</t>
  </si>
  <si>
    <t>Elements panel: live edit, computed styles, box model, specificity view</t>
  </si>
  <si>
    <t>Inspecting flexbox &amp; grid overlays</t>
  </si>
  <si>
    <t>Console: expressions, $0, $$(), live expressions</t>
  </si>
  <si>
    <t>Sources: breakpoints, conditional breakpoints, step through, watch, call stack</t>
  </si>
  <si>
    <t>Walk me through debugging a bug</t>
  </si>
  <si>
    <t>DOM / event-listener / XHR breakpoints</t>
  </si>
  <si>
    <t>Network: waterfall, timings, headers, throttling, blocking, initiator</t>
  </si>
  <si>
    <t>Performance panel: flame chart, long tasks, CPU throttling</t>
  </si>
  <si>
    <t>Memory: heap snapshots, detached nodes, finding leaks</t>
  </si>
  <si>
    <t>Lighthouse audits</t>
  </si>
  <si>
    <t>Application panel: storage, cookies, service workers, manifest</t>
  </si>
  <si>
    <t>Device emulation &amp; responsive mode</t>
  </si>
  <si>
    <t>Accessibility tree &amp; contrast checker</t>
  </si>
  <si>
    <t>Source maps</t>
  </si>
  <si>
    <t>5.1 The event loop</t>
  </si>
  <si>
    <t>JS is single-threaded, non-blocking</t>
  </si>
  <si>
    <t>Call stack</t>
  </si>
  <si>
    <t>Web APIs / browser thread pool</t>
  </si>
  <si>
    <t>setTimeout is not part of JS — it's the browser</t>
  </si>
  <si>
    <t>Callback (macrotask) queue</t>
  </si>
  <si>
    <t>Microtask queue &amp; its priority</t>
  </si>
  <si>
    <t>The output-ordering puzzle is near-universal at 2+ YOE</t>
  </si>
  <si>
    <t>The loop's rule: stack empty → drain all microtasks → one macrotask</t>
  </si>
  <si>
    <t>What goes where: promises/queueMicrotask/MutationObserver = micro; setTimeout/setInterval/I/O/events = macro</t>
  </si>
  <si>
    <t>setTimeout(fn, 0) — why it isn't 0ms</t>
  </si>
  <si>
    <t>Minimum clamp + queue position</t>
  </si>
  <si>
    <t>setInterval drift; why setTimeout recursion is safer</t>
  </si>
  <si>
    <t>Starving the event loop with a long sync task</t>
  </si>
  <si>
    <t>Animation frames vs the task queues</t>
  </si>
  <si>
    <t>5.2 Callbacks → Promises → async/await</t>
  </si>
  <si>
    <t>Callback pattern &amp; callback hell / pyramid of doom</t>
  </si>
  <si>
    <t>Inversion of control (why callbacks are hard to trust)</t>
  </si>
  <si>
    <t>Promise states: pending / fulfilled / rejected; settled</t>
  </si>
  <si>
    <t>Guaranteed</t>
  </si>
  <si>
    <t>new Promise((resolve, reject) =&gt; …)</t>
  </si>
  <si>
    <t>Promisify a callback API — common exercise</t>
  </si>
  <si>
    <t>.then / .catch / .finally</t>
  </si>
  <si>
    <t>Chaining; each .then returns a new promise</t>
  </si>
  <si>
    <t>Output-order puzzles depend on this</t>
  </si>
  <si>
    <t>Returning values vs returning promises in a chain</t>
  </si>
  <si>
    <t>Error propagation down a chain</t>
  </si>
  <si>
    <t>Where a .catch placed mid-chain lands</t>
  </si>
  <si>
    <t>Promise.resolve / Promise.reject</t>
  </si>
  <si>
    <t>Promise.all</t>
  </si>
  <si>
    <t>Implement it from scratch — extremely common</t>
  </si>
  <si>
    <t>Promise.allSettled</t>
  </si>
  <si>
    <t>vs all — the fail-fast difference</t>
  </si>
  <si>
    <t>Promise.race</t>
  </si>
  <si>
    <t>Timeout pattern</t>
  </si>
  <si>
    <t>Promise.any</t>
  </si>
  <si>
    <t>Unhandled rejections</t>
  </si>
  <si>
    <t>async functions always return a promise</t>
  </si>
  <si>
    <t>await — what it actually suspends</t>
  </si>
  <si>
    <t>try/catch with await; .catch() on the call</t>
  </si>
  <si>
    <t>Sequential vs parallel awaits</t>
  </si>
  <si>
    <t>The classic optimisation question: two awaits in a row vs Promise.all</t>
  </si>
  <si>
    <t>await inside loops (and why it's usually wrong)</t>
  </si>
  <si>
    <t>Top-level await</t>
  </si>
  <si>
    <t>for await…of</t>
  </si>
  <si>
    <t>Cancellation with AbortController / AbortSignal</t>
  </si>
  <si>
    <t>Cancelling a fetch — comes up with React cleanup</t>
  </si>
  <si>
    <t>Implementing a sleep/delay helper</t>
  </si>
  <si>
    <t>Retry with exponential backoff</t>
  </si>
  <si>
    <t>Concurrency limiting (run N at a time)</t>
  </si>
  <si>
    <t>A step-up machine-coding ask</t>
  </si>
  <si>
    <t>5.3 HTTP &amp; REST</t>
  </si>
  <si>
    <t>Methods: GET, POST, PUT, PATCH, DELETE, HEAD, OPTIONS</t>
  </si>
  <si>
    <t>PUT vs PATCH — asked constantly</t>
  </si>
  <si>
    <t>Idempotency &amp; safety</t>
  </si>
  <si>
    <t>Which methods are idempotent and why it matters for retries</t>
  </si>
  <si>
    <t>Status codes: 2xx, 3xx, 4xx, 5xx</t>
  </si>
  <si>
    <t>Know 200/201/204/301/302/304/400/401/403/404/409/422/429/500/502/503</t>
  </si>
  <si>
    <t>401 vs 403</t>
  </si>
  <si>
    <t>Authentication vs authorisation</t>
  </si>
  <si>
    <t>Request/response headers: Content-Type, Accept, Authorization, Cache-Control, ETag</t>
  </si>
  <si>
    <t>Query params vs path params vs body</t>
  </si>
  <si>
    <t>REST resource design &amp; nested resources</t>
  </si>
  <si>
    <t>Design the endpoints for X</t>
  </si>
  <si>
    <t>Statelessness</t>
  </si>
  <si>
    <t>HTTP/1.1 vs HTTP/2 vs HTTP/3</t>
  </si>
  <si>
    <t>Multiplexing kills the domain-sharding hack</t>
  </si>
  <si>
    <t>Caching: Cache-Control, ETag/If-None-Match, 304, cache-busting hashes</t>
  </si>
  <si>
    <t>Compression (gzip / brotli)</t>
  </si>
  <si>
    <t>GraphQL vs REST (conceptual)</t>
  </si>
  <si>
    <t>Over/under-fetching</t>
  </si>
  <si>
    <t>WebSockets vs polling vs SSE</t>
  </si>
  <si>
    <t>When you'd pick each</t>
  </si>
  <si>
    <t>5.4 Fetching data</t>
  </si>
  <si>
    <t>fetch() basics; the two-step await res.json()</t>
  </si>
  <si>
    <t>fetch doesn't reject on 4xx/5xx</t>
  </si>
  <si>
    <t>The #1 fetch gotcha. Check res.ok</t>
  </si>
  <si>
    <t>Response: status, ok, headers, json, text, blob, formData</t>
  </si>
  <si>
    <t>POST with headers + JSON.stringify body</t>
  </si>
  <si>
    <t>Sending FormData / file upload</t>
  </si>
  <si>
    <t>Request options: method, headers, body, credentials, mode, cache, signal</t>
  </si>
  <si>
    <t>Timeouts via AbortSignal.timeout / Promise.race</t>
  </si>
  <si>
    <t>XMLHttpRequest (legacy awareness)</t>
  </si>
  <si>
    <t>Usually only as "what did we do before fetch"</t>
  </si>
  <si>
    <t>Axios vs fetch</t>
  </si>
  <si>
    <t>Interceptors, auto-JSON, error semantics</t>
  </si>
  <si>
    <t>Loading / error / empty states ("happy path vs sad path")</t>
  </si>
  <si>
    <t>Scrimba teaches it under that name; interviewers test it in machine coding</t>
  </si>
  <si>
    <t>Race conditions between requests</t>
  </si>
  <si>
    <t>Stale response overwriting fresh — the typeahead bug</t>
  </si>
  <si>
    <t>Pagination: offset/limit vs cursor</t>
  </si>
  <si>
    <t>Polling</t>
  </si>
  <si>
    <t>Optimistic updates &amp; rollback</t>
  </si>
  <si>
    <t>Mock APIs (MSW, JSON Server, Mirage)</t>
  </si>
  <si>
    <t>5.5 Security &amp; auth basics</t>
  </si>
  <si>
    <t>Same-origin policy; what "origin" means</t>
  </si>
  <si>
    <t>CORS — Access-Control-Allow-Origin, preflight OPTIONS, simple vs preflighted requests, credentials</t>
  </si>
  <si>
    <t>Guaranteed at 2+ YOE. "Why am I getting a CORS error and can I fix it on the frontend?" (No.)</t>
  </si>
  <si>
    <t>XSS — stored / reflected / DOM-based; escaping; innerHTML; dangerouslySetInnerHTML; sanitisation (DOMPurify)</t>
  </si>
  <si>
    <t>CSRF — how it works; SameSite cookies; CSRF tokens</t>
  </si>
  <si>
    <t>Content Security Policy (basics)</t>
  </si>
  <si>
    <t>Auth flows: session cookie vs token</t>
  </si>
  <si>
    <t>JWT — structure (header.payload.signature), stateless verification, expiry, refresh tokens</t>
  </si>
  <si>
    <t>Where do you store it? httpOnly cookie vs localStorage, and the XSS/CSRF trade-off</t>
  </si>
  <si>
    <t>OAuth 2.0 / OIDC at a conceptual level</t>
  </si>
  <si>
    <t>Authorization-code flow with PKCE for SPAs</t>
  </si>
  <si>
    <t>Protected routes &amp; redirect-after-login</t>
  </si>
  <si>
    <t>Scrimba's VanLife module; a common machine-coding task</t>
  </si>
  <si>
    <t>Never trust the client; validate on the server</t>
  </si>
  <si>
    <t>Secrets &amp; env vars — why VITE_* / NEXT_PUBLIC_* are public</t>
  </si>
  <si>
    <t>Common real-world mistake</t>
  </si>
  <si>
    <t>Dependency supply-chain risk (npm audit)</t>
  </si>
  <si>
    <t>Clickjacking / X-Frame-Options</t>
  </si>
  <si>
    <t>In-flight deduplication</t>
  </si>
  <si>
    <t>Share one pending request; never share across users or sessions</t>
  </si>
  <si>
    <t>Main-thread blocking</t>
  </si>
  <si>
    <t>CPU-heavy JS blocks input even when it sits inside an async function</t>
  </si>
  <si>
    <t>forEach does not await</t>
  </si>
  <si>
    <t>The single most common async-array bug; use for...of or map plus Promise.all</t>
  </si>
  <si>
    <t>Rate limits and Retry-After</t>
  </si>
  <si>
    <t>Respect the header; avoid building a retry storm</t>
  </si>
  <si>
    <t>Safety vs idempotency</t>
  </si>
  <si>
    <t>Two different properties that people merge into one</t>
  </si>
  <si>
    <t>Contract mismatches</t>
  </si>
  <si>
    <t>Missing fields, nulls, date formats, inconsistent errors, backward-compatible change</t>
  </si>
  <si>
    <t>Multipart upload details</t>
  </si>
  <si>
    <t>Let the browser set the boundary header; do not hand-write Content-Type</t>
  </si>
  <si>
    <t>Trust boundaries</t>
  </si>
  <si>
    <t>Browser input and client state are entirely under the user's control</t>
  </si>
  <si>
    <t>Safe navigation</t>
  </si>
  <si>
    <t>Untrusted URLs, open redirects, javascript: schemes, external-link policy</t>
  </si>
  <si>
    <t>Injection beyond XSS</t>
  </si>
  <si>
    <t>SQL and command injection are backend risks; parameterisation is a server job</t>
  </si>
  <si>
    <t>File-upload safety</t>
  </si>
  <si>
    <t>Frontend checks are convenience; server validation and storage policy are the control</t>
  </si>
  <si>
    <t>Data privacy hygiene</t>
  </si>
  <si>
    <t>Never log passwords, tokens or unnecessary personal payloads</t>
  </si>
  <si>
    <t>Rich-content sanitisation</t>
  </si>
  <si>
    <t>Escaping and sanitising solve different problems; use a maintained library</t>
  </si>
  <si>
    <t>6.1 Git &amp; GitHub</t>
  </si>
  <si>
    <t>init, clone, add, commit, status, log, diff</t>
  </si>
  <si>
    <t>The three areas: working tree, staging, repository</t>
  </si>
  <si>
    <t>Commit SHAs; the commit graph (tree + parent)</t>
  </si>
  <si>
    <t>Branching: branch, switch/checkout</t>
  </si>
  <si>
    <t>merge vs rebase</t>
  </si>
  <si>
    <t>Guaranteed at 2+ YOE. History shape; the golden rule of rebasing</t>
  </si>
  <si>
    <t>Fast-forward vs three-way merge; --no-ff</t>
  </si>
  <si>
    <t>Conflict resolution</t>
  </si>
  <si>
    <t>Walk me through resolving one</t>
  </si>
  <si>
    <t>remote, fetch vs pull, push, tracking branches</t>
  </si>
  <si>
    <t>fetch vs pull — a standard question</t>
  </si>
  <si>
    <t>pull --rebase</t>
  </si>
  <si>
    <t>stash (incl. pop, list, -u)</t>
  </si>
  <si>
    <t>reset — --soft / --mixed / --hard</t>
  </si>
  <si>
    <t>vs revert — the classic pairing</t>
  </si>
  <si>
    <t>revert and when it's the right call</t>
  </si>
  <si>
    <t>Rewriting shared history is the wrong call</t>
  </si>
  <si>
    <t>cherry-pick</t>
  </si>
  <si>
    <t>HEAD, detached HEAD, reflog</t>
  </si>
  <si>
    <t>"I lost my commits" — reflog is the answer</t>
  </si>
  <si>
    <t>Interactive rebase (squash, fixup, reword, drop)</t>
  </si>
  <si>
    <t>Cleaning a PR branch</t>
  </si>
  <si>
    <t>.gitignore, .gitattributes</t>
  </si>
  <si>
    <t>tag &amp; semantic versioning</t>
  </si>
  <si>
    <t>bisect</t>
  </si>
  <si>
    <t>Finding the commit that broke it</t>
  </si>
  <si>
    <t>blame, log -S (pickaxe), log --grep</t>
  </si>
  <si>
    <t>Branching strategies: trunk-based, GitHub Flow, Git Flow</t>
  </si>
  <si>
    <t>Which does your team use, and why</t>
  </si>
  <si>
    <t>Pull requests: description, review, approvals, squash vs merge commit</t>
  </si>
  <si>
    <t>Code review: what you look for, how you give feedback</t>
  </si>
  <si>
    <t>Scrimba dedicates a whole module to this; interviewers ask about it behaviourally</t>
  </si>
  <si>
    <t>Conventional commits</t>
  </si>
  <si>
    <t>SSH / GPG keys, signed commits</t>
  </si>
  <si>
    <t>Worktrees, submodules</t>
  </si>
  <si>
    <t>6.2 Command line &amp; environment</t>
  </si>
  <si>
    <t>Navigation &amp; file ops: cd, ls, mkdir, cp, mv, rm, touch</t>
  </si>
  <si>
    <t>Pipes, redirection, grep, find, cat, head/tail</t>
  </si>
  <si>
    <t>Env vars &amp; .env files</t>
  </si>
  <si>
    <t>PATH, shell profile</t>
  </si>
  <si>
    <t>Node version managers (nvm / fnm / volta)</t>
  </si>
  <si>
    <t>Editor proficiency (VS Code: multi-cursor, refactor, debugger, extensions)</t>
  </si>
  <si>
    <t>SSH basics</t>
  </si>
  <si>
    <t>6.3 Node, package management &amp; builds</t>
  </si>
  <si>
    <t>What Node is; why frontend tooling runs on it</t>
  </si>
  <si>
    <t>package.json: scripts, dependencies vs devDependencies vs peerDependencies</t>
  </si>
  <si>
    <t>dependencies vs devDependencies — very common</t>
  </si>
  <si>
    <t>Semver (^, ~, exact, ranges)</t>
  </si>
  <si>
    <t>^ vs ~ — guaranteed</t>
  </si>
  <si>
    <t>Lockfiles — what they're for, why you commit them</t>
  </si>
  <si>
    <t>npm vs yarn vs pnpm</t>
  </si>
  <si>
    <t>pnpm's symlinked store</t>
  </si>
  <si>
    <t>npx</t>
  </si>
  <si>
    <t>npm ci vs npm install</t>
  </si>
  <si>
    <t>CI-relevant</t>
  </si>
  <si>
    <t>Transitive deps, npm audit, bundle bloat</t>
  </si>
  <si>
    <t>Vite: dev server, native ESM, HMR, build, preview, env vars, config</t>
  </si>
  <si>
    <t>The default toolchain now; FEM &amp; Scrimba both teach it</t>
  </si>
  <si>
    <t>Webpack concepts: entry, output, loaders, plugins, code splitting</t>
  </si>
  <si>
    <t>Still on plenty of JDs and legacy codebases</t>
  </si>
  <si>
    <t>esbuild / SWC / Rollup / Rspack — what each is for</t>
  </si>
  <si>
    <t>Babel &amp; transpilation; targets/browserslist; polyfills vs transpiling</t>
  </si>
  <si>
    <t>Transpiling vs polyfilling — a real question</t>
  </si>
  <si>
    <t>Tree shaking (and what defeats it)</t>
  </si>
  <si>
    <t>Side effects, CommonJS, barrel files</t>
  </si>
  <si>
    <t>Code splitting &amp; lazy chunks</t>
  </si>
  <si>
    <t>Source maps in dev vs prod</t>
  </si>
  <si>
    <t>Minification, hashing &amp; long-term caching</t>
  </si>
  <si>
    <t>Bundle analysis</t>
  </si>
  <si>
    <t>"How would you find what's making the bundle big"</t>
  </si>
  <si>
    <t>Dev server proxying (to dodge CORS locally)</t>
  </si>
  <si>
    <t>6.4 Quality gates &amp; delivery</t>
  </si>
  <si>
    <t>ESLint: rules, configs, plugins, eslint-plugin-react-hooks, jsx-a11y</t>
  </si>
  <si>
    <t>The hooks plugin catches the dependency bugs you'll be asked about</t>
  </si>
  <si>
    <t>Prettier &amp; the lint-vs-format separation</t>
  </si>
  <si>
    <t>Husky / lint-staged pre-commit hooks</t>
  </si>
  <si>
    <t>EditorConfig</t>
  </si>
  <si>
    <t>CI basics with GitHub Actions: triggers, jobs, steps, caching</t>
  </si>
  <si>
    <t>"What runs on your PRs?"</t>
  </si>
  <si>
    <t>CD &amp; preview deployments (Netlify / Vercel / GitHub Pages)</t>
  </si>
  <si>
    <t>Both syllabi make you deploy repeatedly</t>
  </si>
  <si>
    <t>Environments: dev / staging / prod</t>
  </si>
  <si>
    <t>Feature flags</t>
  </si>
  <si>
    <t>Error monitoring (Sentry) &amp; basic analytics</t>
  </si>
  <si>
    <t>Agile / Scrum vocabulary</t>
  </si>
  <si>
    <t>Scrimba lists it as an explicit interview question. Sprint, standup, retro, story points</t>
  </si>
  <si>
    <t>Node vs the browser</t>
  </si>
  <si>
    <t>Node is a runtime for your tooling; it has no DOM</t>
  </si>
  <si>
    <t>Dependency troubleshooting</t>
  </si>
  <si>
    <t>Incompatible runtime versions, peer conflicts, duplicate packages, missing exports</t>
  </si>
  <si>
    <t>DNS and TLS basics</t>
  </si>
  <si>
    <t>Enough to know whom to involve when infrastructure, not your code, is broken</t>
  </si>
  <si>
    <t>Environment parity</t>
  </si>
  <si>
    <t>Dev vs prod API endpoints, CORS, cookies and runtime assumptions</t>
  </si>
  <si>
    <t>Deployment configuration</t>
  </si>
  <si>
    <t>Base paths, env vars, SPA rewrites, custom domains</t>
  </si>
  <si>
    <t>SPA refresh fallback</t>
  </si>
  <si>
    <t>Refreshing a client route must resolve at the host, not 404</t>
  </si>
  <si>
    <t>Pull-request review craft</t>
  </si>
  <si>
    <t>Correctness, readability, accessibility, tests, security and scope</t>
  </si>
  <si>
    <t>Writing a bug report</t>
  </si>
  <si>
    <t>Repro steps, expected vs actual, environment, evidence</t>
  </si>
  <si>
    <t>Work estimation</t>
  </si>
  <si>
    <t>Break a feature into verifiable slices; surface uncertainty early</t>
  </si>
  <si>
    <t>Requirements clarification</t>
  </si>
  <si>
    <t>Edge cases, acceptance criteria, failure states, product tradeoffs</t>
  </si>
  <si>
    <t>Working with design and backend</t>
  </si>
  <si>
    <t>API contract, responsive behaviour, loading and error states, ownership</t>
  </si>
  <si>
    <t>AI-assisted code review</t>
  </si>
  <si>
    <t>Understand generated code, verify the APIs exist, read the diff, test it yourself</t>
  </si>
  <si>
    <t>Why TypeScript; static vs dynamic typing; its pros and costs</t>
  </si>
  <si>
    <t>Have a balanced opinion, not a sales pitch</t>
  </si>
  <si>
    <t>tsc, tsconfig.json, strict mode</t>
  </si>
  <si>
    <t>What strict actually turns on</t>
  </si>
  <si>
    <t>Primitive annotations &amp; type inference</t>
  </si>
  <si>
    <t>When to annotate and when to let it infer</t>
  </si>
  <si>
    <t>any vs unknown vs never</t>
  </si>
  <si>
    <t>Guaranteed. Why unknown is the safe any</t>
  </si>
  <si>
    <t>void</t>
  </si>
  <si>
    <t>Type assertions (as) and why they're a last resort</t>
  </si>
  <si>
    <t>Object types; optional (?) and readonly properties</t>
  </si>
  <si>
    <t>Index signatures &amp; Record&lt;K, V&gt;</t>
  </si>
  <si>
    <t>Arrays vs tuples</t>
  </si>
  <si>
    <t>Union types and narrowing / control-flow analysis</t>
  </si>
  <si>
    <t>Intersection types</t>
  </si>
  <si>
    <t>Literal types &amp; as const</t>
  </si>
  <si>
    <t>type vs interface</t>
  </si>
  <si>
    <t>Asked in every TS interview. Declaration merging, extends vs &amp;, unions</t>
  </si>
  <si>
    <t>extends and implements</t>
  </si>
  <si>
    <t>Function types, optional &amp; default params, overloads</t>
  </si>
  <si>
    <t>Generics — functions, constraints (extends), defaults</t>
  </si>
  <si>
    <t>Write a generic function live</t>
  </si>
  <si>
    <t>Generic components &amp; generic hooks</t>
  </si>
  <si>
    <t>Utility types: Partial, Required, Readonly, Pick, Omit, Record, Exclude, Extract, NonNullable, ReturnType, Parameters, Awaited</t>
  </si>
  <si>
    <t>Pick/Omit/Partial come up constantly</t>
  </si>
  <si>
    <t>Type guards: typeof, instanceof, in, custom x is Y predicates</t>
  </si>
  <si>
    <t>Discriminated unions</t>
  </si>
  <si>
    <t>The idiomatic way to model loading/success/error state — great answer</t>
  </si>
  <si>
    <t>Enums vs union of literals vs as const object</t>
  </si>
  <si>
    <t>Why most teams avoid enum now</t>
  </si>
  <si>
    <t>Structural vs nominal typing</t>
  </si>
  <si>
    <t>keyof, typeof (type position), indexed access T[K]</t>
  </si>
  <si>
    <t>Optional chaining + non-null assertion (!)</t>
  </si>
  <si>
    <t>Declaration files (.d.ts), @types/*, module augmentation</t>
  </si>
  <si>
    <t>Typing async functions &amp; Promise&lt;T&gt;</t>
  </si>
  <si>
    <t>Runtime validation with Zod (and inferring types from schemas)</t>
  </si>
  <si>
    <t>FEM teaches it in React+TS; increasingly expected</t>
  </si>
  <si>
    <t>Conditional types, infer, mapped types, template literal types</t>
  </si>
  <si>
    <t>satisfies</t>
  </si>
  <si>
    <t>Variance, project references, declaration merging at scale</t>
  </si>
  <si>
    <t>8.1 Mental model &amp; fundamentals</t>
  </si>
  <si>
    <t>What React is — a library, not a framework</t>
  </si>
  <si>
    <t>Declarative vs imperative UI</t>
  </si>
  <si>
    <t>Scrimba's "Why React? It's declarative" — say it in your own words</t>
  </si>
  <si>
    <t>Composability</t>
  </si>
  <si>
    <t>UI = f(state)</t>
  </si>
  <si>
    <t>The single best one-line answer</t>
  </si>
  <si>
    <t>React without a build step (createElement)</t>
  </si>
  <si>
    <t>FEM opens the course this way; explains what JSX compiles to</t>
  </si>
  <si>
    <t>ReactDOM.createRoot / root.render (vs legacy ReactDOM.render)</t>
  </si>
  <si>
    <t>Virtual DOM — what it is, and what it is *not*</t>
  </si>
  <si>
    <t>Scrimba lists it as an interview question by name. It's not "faster than the DOM"; it's a diffing strategy</t>
  </si>
  <si>
    <t>Reconciliation &amp; the diffing algorithm</t>
  </si>
  <si>
    <t>Same-type elements update, different-type subtrees unmount</t>
  </si>
  <si>
    <t>One-way data flow</t>
  </si>
  <si>
    <t>React's limitations / when *not* to use it</t>
  </si>
  <si>
    <t>Scrimba asks this explicitly</t>
  </si>
  <si>
    <t>React vs vanilla JS (what problem it solves)</t>
  </si>
  <si>
    <t>StrictMode — double-render &amp; double-effect in dev</t>
  </si>
  <si>
    <t>Very common "why does my effect run twice" question</t>
  </si>
  <si>
    <t>React DevTools: component tree, props/state inspection, profiler</t>
  </si>
  <si>
    <t>8.2 JSX</t>
  </si>
  <si>
    <t>JSX syntax; it's not HTML</t>
  </si>
  <si>
    <t>JSX → createElement / the automatic runtime</t>
  </si>
  <si>
    <t>Expressions in JSX ({}) — and what you can't put there</t>
  </si>
  <si>
    <t>Statements, objects, if</t>
  </si>
  <si>
    <t>Attribute differences: className, htmlFor, camelCase events, style as an object</t>
  </si>
  <si>
    <t>Self-closing tags; single root element</t>
  </si>
  <si>
    <t>Fragments (&lt;&gt;&lt;/&gt;, &lt;React.Fragment key&gt;)</t>
  </si>
  <si>
    <t>When you need the long form</t>
  </si>
  <si>
    <t>Rendering booleans / null / undefined (nothing renders)</t>
  </si>
  <si>
    <t>The 0 &amp;&amp; &lt;X/&gt; bug — asked as a trick question</t>
  </si>
  <si>
    <t>Comments in JSX</t>
  </si>
  <si>
    <t>Conditional class names / clsx</t>
  </si>
  <si>
    <t>dangerouslySetInnerHTML</t>
  </si>
  <si>
    <t>Why it's named that</t>
  </si>
  <si>
    <t>Importing static assets in Vite</t>
  </si>
  <si>
    <t>8.3 Components &amp; props</t>
  </si>
  <si>
    <t>Function components</t>
  </si>
  <si>
    <t>Naming &amp; file conventions</t>
  </si>
  <si>
    <t>Props — passing, receiving, read-only</t>
  </si>
  <si>
    <t>"Can a child modify props?" — no</t>
  </si>
  <si>
    <t>Destructuring props</t>
  </si>
  <si>
    <t>Default props via default parameters</t>
  </si>
  <si>
    <t>Non-string props (numbers, objects, arrays, functions)</t>
  </si>
  <si>
    <t>Passing functions down (callback props)</t>
  </si>
  <si>
    <t>children</t>
  </si>
  <si>
    <t>Props spreading ({...props}) and its risks</t>
  </si>
  <si>
    <t>Composition vs configuration (children vs a variant prop)</t>
  </si>
  <si>
    <t>Prop drilling — the problem it names</t>
  </si>
  <si>
    <t>Sets up the Context answer</t>
  </si>
  <si>
    <t>Component boundaries: when to split</t>
  </si>
  <si>
    <t>Presentational vs container components</t>
  </si>
  <si>
    <t>PropTypes (legacy) vs TypeScript props</t>
  </si>
  <si>
    <t>Class components: render, this.state, setState, lifecycle methods</t>
  </si>
  <si>
    <t>Still asked — you'll meet legacy code. Map each lifecycle to its hook equivalent</t>
  </si>
  <si>
    <t>8.4 State</t>
  </si>
  <si>
    <t>useState — array destructuring, initial value</t>
  </si>
  <si>
    <t>Props vs state</t>
  </si>
  <si>
    <t>State is a snapshot per render</t>
  </si>
  <si>
    <t>Why logging right after setState shows the old value</t>
  </si>
  <si>
    <t>Functional updates (setX(prev =&gt; …))</t>
  </si>
  <si>
    <t>When it's mandatory — very common</t>
  </si>
  <si>
    <t>State batching (automatic in React 18, including in async callbacks)</t>
  </si>
  <si>
    <t>Three setCount(count+1) calls → +1, not +3</t>
  </si>
  <si>
    <t>Lazy initial state (useState(() =&gt; expensive()))</t>
  </si>
  <si>
    <t>Scrimba teaches it by name</t>
  </si>
  <si>
    <t>Immutable updates of arrays &amp; objects in state</t>
  </si>
  <si>
    <t>The most common React bug in live coding</t>
  </si>
  <si>
    <t>Complex state: arrays of objects; updating one item by id</t>
  </si>
  <si>
    <t>Derived state — compute, don't store</t>
  </si>
  <si>
    <t>FEM names this an anti-pattern. Excellent answer to give</t>
  </si>
  <si>
    <t>Lifting state up</t>
  </si>
  <si>
    <t>Setting state from a child</t>
  </si>
  <si>
    <t>Colocating state / pushing state down</t>
  </si>
  <si>
    <t>The first React performance fix</t>
  </si>
  <si>
    <t>useReducer — reducer, action, dispatch</t>
  </si>
  <si>
    <t>When to prefer it over useState</t>
  </si>
  <si>
    <t>key to reset component state</t>
  </si>
  <si>
    <t>An elegant answer that impresses</t>
  </si>
  <si>
    <t>State vs refs vs module variables</t>
  </si>
  <si>
    <t>What triggers a re-render and what doesn't</t>
  </si>
  <si>
    <t>8.5 Rendering lists &amp; conditionals</t>
  </si>
  <si>
    <t>Rendering arrays with .map()</t>
  </si>
  <si>
    <t>The key prop — stable, unique, why not index</t>
  </si>
  <si>
    <t>Guaranteed. Explain a concrete bug caused by index keys (reorder + input state)</t>
  </si>
  <si>
    <t>Keys are scoped to siblings, not global</t>
  </si>
  <si>
    <t>Conditional rendering: ternary</t>
  </si>
  <si>
    <t>Conditional rendering: &amp;&amp; and the falsy-0 trap</t>
  </si>
  <si>
    <t>Early returns &amp; guard clauses</t>
  </si>
  <si>
    <t>Rendering nothing (null)</t>
  </si>
  <si>
    <t>Mapping to components; extracting a list-item component</t>
  </si>
  <si>
    <t>Empty / loading / error states</t>
  </si>
  <si>
    <t>8.6 Events &amp; forms</t>
  </si>
  <si>
    <t>Event handlers in JSX; passing a function vs calling it</t>
  </si>
  <si>
    <t>onClick={fn} vs onClick={fn()} — classic bug</t>
  </si>
  <si>
    <t>Passing arguments (arrow wrapper)</t>
  </si>
  <si>
    <t>SyntheticEvent &amp; delegation at the root</t>
  </si>
  <si>
    <t>Asked by name. React 17+ attaches at the root container, not document</t>
  </si>
  <si>
    <t>e.preventDefault(), e.stopPropagation() in React</t>
  </si>
  <si>
    <t>Controlled components (value + onChange)</t>
  </si>
  <si>
    <t>Uncontrolled components + defaultValue / refs</t>
  </si>
  <si>
    <t>Controlled vs uncontrolled — the pairing is always asked</t>
  </si>
  <si>
    <t>Single handler for many inputs (e.target.name)</t>
  </si>
  <si>
    <t>Form state as one object</t>
  </si>
  <si>
    <t>Checkboxes (checked), radios, select/option, textarea</t>
  </si>
  <si>
    <t>Textarea uses value, not children — a React-specific gotcha</t>
  </si>
  <si>
    <t>Multi-select &amp; multiple</t>
  </si>
  <si>
    <t>Form submission; FormData + Object.fromEntries</t>
  </si>
  <si>
    <t>Validation &amp; error display</t>
  </si>
  <si>
    <t>useId for label/input pairing</t>
  </si>
  <si>
    <t>React Hook Form / Formik (awareness + why)</t>
  </si>
  <si>
    <t>Uncontrolled-by-default for performance</t>
  </si>
  <si>
    <t>8.7 Effects</t>
  </si>
  <si>
    <t>useEffect — syntax and default behaviour</t>
  </si>
  <si>
    <t>The dependency array: absent / [] / [deps]</t>
  </si>
  <si>
    <t>Guaranteed. Explain all three.</t>
  </si>
  <si>
    <t>Cleanup function — when it runs</t>
  </si>
  <si>
    <t>Guaranteed. Unmount *and* before every re-run</t>
  </si>
  <si>
    <t>Effects for subscriptions, timers, listeners</t>
  </si>
  <si>
    <t>Data fetching in an effect + cleanup/abort</t>
  </si>
  <si>
    <t>Race condition on fast prop changes — the follow-up</t>
  </si>
  <si>
    <t>Why you can't make the effect callback async</t>
  </si>
  <si>
    <t>Infinite loop causes (object/array/function deps, setting state unconditionally)</t>
  </si>
  <si>
    <t>Extremely common debugging question</t>
  </si>
  <si>
    <t>Stale closures in effects</t>
  </si>
  <si>
    <t>"You might not need an effect"</t>
  </si>
  <si>
    <t>The modern senior-signal answer: derive during render, handle in the event handler, use key to reset</t>
  </si>
  <si>
    <t>useLayoutEffect vs useEffect</t>
  </si>
  <si>
    <t>Sync before paint; when it prevents a flicker</t>
  </si>
  <si>
    <t>Effect order: child before parent</t>
  </si>
  <si>
    <t>Double-run in StrictMode</t>
  </si>
  <si>
    <t>8.8 The hooks catalogue</t>
  </si>
  <si>
    <t>Rules of Hooks (top level only, components/custom hooks only)</t>
  </si>
  <si>
    <t>Guaranteed. And *why*: hooks are matched by call order.</t>
  </si>
  <si>
    <t>useState</t>
  </si>
  <si>
    <t>useEffect</t>
  </si>
  <si>
    <t>useContext</t>
  </si>
  <si>
    <t>useRef</t>
  </si>
  <si>
    <t>useReducer</t>
  </si>
  <si>
    <t>useMemo</t>
  </si>
  <si>
    <t>useCallback</t>
  </si>
  <si>
    <t>useLayoutEffect</t>
  </si>
  <si>
    <t>useId</t>
  </si>
  <si>
    <t>useTransition / startTransition</t>
  </si>
  <si>
    <t>Keeping the UI responsive during heavy updates</t>
  </si>
  <si>
    <t>useDeferredValue</t>
  </si>
  <si>
    <t>The fuzzy-search / slider example</t>
  </si>
  <si>
    <t>useOptimistic</t>
  </si>
  <si>
    <t>React 19</t>
  </si>
  <si>
    <t>useActionState / useFormStatus</t>
  </si>
  <si>
    <t>React 19 form actions</t>
  </si>
  <si>
    <t>use()</t>
  </si>
  <si>
    <t>Reading a promise or context conditionally</t>
  </si>
  <si>
    <t>useSyncExternalStore</t>
  </si>
  <si>
    <t>8.9 Custom hooks</t>
  </si>
  <si>
    <t>Extracting stateful logic into a hook</t>
  </si>
  <si>
    <t>"Write a custom hook" is a standard live-coding task</t>
  </si>
  <si>
    <t>The use naming convention</t>
  </si>
  <si>
    <t>Hooks share logic, not state</t>
  </si>
  <si>
    <t>Two components calling the same hook get separate state — a common misconception</t>
  </si>
  <si>
    <t>Returning arrays vs objects</t>
  </si>
  <si>
    <t>Classics to be able to write: useToggle, useDebounce, useLocalStorage, useFetch, usePrevious, useOnClickOutside, useMediaQuery, useIntersectionObserver, useWindowSize</t>
  </si>
  <si>
    <t>Expect at least one of these</t>
  </si>
  <si>
    <t>Composing hooks</t>
  </si>
  <si>
    <t>Testing custom hooks</t>
  </si>
  <si>
    <t>8.10 Context</t>
  </si>
  <si>
    <t>createContext, Provider, useContext</t>
  </si>
  <si>
    <t>Default value &amp; when it's used</t>
  </si>
  <si>
    <t>The custom-provider + custom-hook pattern</t>
  </si>
  <si>
    <t>The idiomatic wrapper</t>
  </si>
  <si>
    <t>Context is not a state manager</t>
  </si>
  <si>
    <t>It solves prop drilling, not re-render efficiency</t>
  </si>
  <si>
    <t>Context re-render problem &amp; mitigations (split contexts, memoize the value, push state down)</t>
  </si>
  <si>
    <t>The senior follow-up to every Context answer</t>
  </si>
  <si>
    <t>Multiple / nested providers</t>
  </si>
  <si>
    <t>React 19: &lt;Context&gt; as a provider</t>
  </si>
  <si>
    <t>When Context vs Redux vs Zustand vs server state</t>
  </si>
  <si>
    <t>Very commonly asked as a design question</t>
  </si>
  <si>
    <t>8.11 Refs &amp; the DOM</t>
  </si>
  <si>
    <t>useRef for DOM access</t>
  </si>
  <si>
    <t>useRef as mutable instance state (no re-render)</t>
  </si>
  <si>
    <t>useRef vs useState — guaranteed</t>
  </si>
  <si>
    <t>ref callbacks (+ cleanup in React 19)</t>
  </si>
  <si>
    <t>forwardRef (React 18) vs ref as a prop (React 19)</t>
  </si>
  <si>
    <t>Know both — codebases lag</t>
  </si>
  <si>
    <t>Common uses: focus, scroll, measure, previous value, interval id</t>
  </si>
  <si>
    <t>Escape hatch, not a first resort</t>
  </si>
  <si>
    <t>Portals (createPortal)</t>
  </si>
  <si>
    <t>Modals/tooltips; events still bubble through the React tree, not the DOM tree — the gotcha</t>
  </si>
  <si>
    <t>8.12 Rendering behaviour &amp; performance</t>
  </si>
  <si>
    <t>Why a component re-renders (state, parent, context)</t>
  </si>
  <si>
    <t>Guaranteed. Note: a prop *changing* isn't the trigger — the parent re-rendering is</t>
  </si>
  <si>
    <t>Render phase vs commit phase</t>
  </si>
  <si>
    <t>React Fiber at a high level</t>
  </si>
  <si>
    <t>Interruptible, incremental rendering</t>
  </si>
  <si>
    <t>Re-render ≠ DOM update</t>
  </si>
  <si>
    <t>The key insight most candidates miss</t>
  </si>
  <si>
    <t>React.memo</t>
  </si>
  <si>
    <t>Shallow prop comparison; why it silently fails with inline objects/arrays/functions</t>
  </si>
  <si>
    <t>useMemo vs useCallback — guaranteed</t>
  </si>
  <si>
    <t>Referential equality</t>
  </si>
  <si>
    <t>The thread tying memo/useMemo/useCallback/deps together</t>
  </si>
  <si>
    <t>When memoization is premature</t>
  </si>
  <si>
    <t>Having this opinion reads as senior</t>
  </si>
  <si>
    <t>The React Compiler (auto-memoization)</t>
  </si>
  <si>
    <t>Good "what's new" answer</t>
  </si>
  <si>
    <t>Code splitting: React.lazy + Suspense</t>
  </si>
  <si>
    <t>Route-based splitting is the standard answer</t>
  </si>
  <si>
    <t>Route-level vs component-level splitting</t>
  </si>
  <si>
    <t>List virtualisation (react-window / TanStack Virtual)</t>
  </si>
  <si>
    <t>"How do you render 10,000 rows?"</t>
  </si>
  <si>
    <t>Profiler: flame chart, ranked, "why did this render"</t>
  </si>
  <si>
    <t>Avoiding inline object/array/function props</t>
  </si>
  <si>
    <t>Children-as-props to skip re-renders</t>
  </si>
  <si>
    <t>Debouncing expensive updates</t>
  </si>
  <si>
    <t>useTransition / useDeferredValue for responsiveness</t>
  </si>
  <si>
    <t>8.13 Component patterns</t>
  </si>
  <si>
    <t>Container / presentational</t>
  </si>
  <si>
    <t>Compound components (Menu / Menu.Item)</t>
  </si>
  <si>
    <t>Scrimba spends a whole section on it; a great design-round answer</t>
  </si>
  <si>
    <t>Custom hooks as the primary reuse mechanism</t>
  </si>
  <si>
    <t>Render props</t>
  </si>
  <si>
    <t>Asked as "what did we use before hooks"</t>
  </si>
  <si>
    <t>Higher-order components</t>
  </si>
  <si>
    <t>Same — plus withRouter/connect history</t>
  </si>
  <si>
    <t>Provider pattern</t>
  </si>
  <si>
    <t>Controlled vs uncontrolled components (your own)</t>
  </si>
  <si>
    <t>Headless / unstyled components</t>
  </si>
  <si>
    <t>Radix, Headless UI, TanStack</t>
  </si>
  <si>
    <t>Slots via props (icon, header, footer)</t>
  </si>
  <si>
    <t>Polymorphic as prop</t>
  </si>
  <si>
    <t>Variants API (CVA / tailwind-variants)</t>
  </si>
  <si>
    <t>Children manipulation: React.Children, cloneElement (and why it's discouraged)</t>
  </si>
  <si>
    <t>Component library structure &amp; Storybook</t>
  </si>
  <si>
    <t>8.14 Routing</t>
  </si>
  <si>
    <t>SPA vs MPA</t>
  </si>
  <si>
    <t>Guaranteed. Trade-offs incl. SEO and first load</t>
  </si>
  <si>
    <t>How client-side routing works (History API, no full reload)</t>
  </si>
  <si>
    <t>BrowserRouter vs HashRouter vs MemoryRouter</t>
  </si>
  <si>
    <t>Why hash routing exists (static hosts)</t>
  </si>
  <si>
    <t>Routes / Route / path / element</t>
  </si>
  <si>
    <t>Link vs NavLink vs &lt;a&gt;</t>
  </si>
  <si>
    <t>Why &lt;a&gt; kills your SPA</t>
  </si>
  <si>
    <t>Active link styling</t>
  </si>
  <si>
    <t>Route params &amp; useParams</t>
  </si>
  <si>
    <t>Nested routes &amp; Outlet</t>
  </si>
  <si>
    <t>Scrimba's core routing lesson; commonly asked</t>
  </si>
  <si>
    <t>Layout routes &amp; index routes</t>
  </si>
  <si>
    <t>Relative vs absolute paths &amp; links</t>
  </si>
  <si>
    <t>Search params &amp; useSearchParams (filters, merging, setter function)</t>
  </si>
  <si>
    <t>URL as state — a strong answer</t>
  </si>
  <si>
    <t>useNavigate, programmatic navigation, replace vs push</t>
  </si>
  <si>
    <t>useLocation and link state</t>
  </si>
  <si>
    <t>Redirect-back-after-login</t>
  </si>
  <si>
    <t>404 / splat routes</t>
  </si>
  <si>
    <t>Protected routes / auth guards</t>
  </si>
  <si>
    <t>Very common machine-coding task</t>
  </si>
  <si>
    <t>Outlet context</t>
  </si>
  <si>
    <t>Lazy-loading routes</t>
  </si>
  <si>
    <t>Loaders / actions / errorElement (data router)</t>
  </si>
  <si>
    <t>React Router v7 — declarative / data / framework modes; Remix merged into it</t>
  </si>
  <si>
    <t>Know that v7 is the current line and that framework mode is Remix. Scrimba still teaches v6; the v6 → v7 API is largely unchanged</t>
  </si>
  <si>
    <t>TanStack Router (type-safe routing)</t>
  </si>
  <si>
    <t>Master.dev's React v9 course teaches this instead of React Router</t>
  </si>
  <si>
    <t>Scroll restoration</t>
  </si>
  <si>
    <t>8.15 Data fetching &amp; server state</t>
  </si>
  <si>
    <t>useEffect + fetch and everything wrong with it</t>
  </si>
  <si>
    <t>Waterfalls, races, no caching, no dedupe — the setup for the TanStack Query answer</t>
  </si>
  <si>
    <t>Loading / error / empty state handling</t>
  </si>
  <si>
    <t>Client state vs server state</t>
  </si>
  <si>
    <t>The conceptual distinction interviewers look for</t>
  </si>
  <si>
    <t>TanStack Query: useQuery, query keys, staleTime vs gcTime, refetching, useMutation, invalidation, optimistic updates</t>
  </si>
  <si>
    <t>FEM teaches it in the intro React course now; expect it on JDs</t>
  </si>
  <si>
    <t>SWR (alternative)</t>
  </si>
  <si>
    <t>Caching &amp; deduplication</t>
  </si>
  <si>
    <t>Prefetching on hover / intent</t>
  </si>
  <si>
    <t>Infinite scroll &amp; pagination</t>
  </si>
  <si>
    <t>Machine-coding classic</t>
  </si>
  <si>
    <t>Suspense for data (use())</t>
  </si>
  <si>
    <t>Error boundaries around data</t>
  </si>
  <si>
    <t>8.16 State management at scale</t>
  </si>
  <si>
    <t>Choosing where state lives (local → lifted → context → store → server → URL)</t>
  </si>
  <si>
    <t>The state-management design question. Answer with this ladder</t>
  </si>
  <si>
    <t>Redux core: store, actions, reducers, dispatch, single source of truth</t>
  </si>
  <si>
    <t>Still asked constantly in the Indian market</t>
  </si>
  <si>
    <t>Pure reducers &amp; the rules (no mutation, no side effects)</t>
  </si>
  <si>
    <t>combineReducers, selectors</t>
  </si>
  <si>
    <t>Middleware (redux-thunk) &amp; enhancers</t>
  </si>
  <si>
    <t>"How do you handle async in Redux?"</t>
  </si>
  <si>
    <t>Redux Toolkit: configureStore, createSlice, createAsyncThunk, Immer built in</t>
  </si>
  <si>
    <t>The expected modern answer</t>
  </si>
  <si>
    <t>useSelector / useDispatch vs connect / mapStateToProps</t>
  </si>
  <si>
    <t>Know both — legacy code</t>
  </si>
  <si>
    <t>Reselect / memoized selectors</t>
  </si>
  <si>
    <t>Redux DevTools &amp; time-travel</t>
  </si>
  <si>
    <t>When you don't need Redux</t>
  </si>
  <si>
    <t>Having this opinion matters more than knowing the API</t>
  </si>
  <si>
    <t>Zustand (store-based)</t>
  </si>
  <si>
    <t>Jotai / Recoil (atomic)</t>
  </si>
  <si>
    <t>Store vs atomic — FEM frames it this way</t>
  </si>
  <si>
    <t>Immer</t>
  </si>
  <si>
    <t>Data normalisation (flattening nested data by id)</t>
  </si>
  <si>
    <t>FEM dedicates a section to it</t>
  </si>
  <si>
    <t>Finite state / state machines; XState (conceptual)</t>
  </si>
  <si>
    <t>Great answer for complex multi-step UI</t>
  </si>
  <si>
    <t>State anti-patterns: redundant state, derived state, cascading effects</t>
  </si>
  <si>
    <t>FEM names each; strong material</t>
  </si>
  <si>
    <t>Undo / redo</t>
  </si>
  <si>
    <t>8.17 Styling in React</t>
  </si>
  <si>
    <t>Plain CSS imports</t>
  </si>
  <si>
    <t>CSS Modules</t>
  </si>
  <si>
    <t>Inline style objects &amp; when they're fine</t>
  </si>
  <si>
    <t>Dynamic / conditional classes (clsx)</t>
  </si>
  <si>
    <t>Tailwind in React</t>
  </si>
  <si>
    <t>CSS-in-JS (styled-components / emotion)</t>
  </si>
  <si>
    <t>Plus why it's losing ground</t>
  </si>
  <si>
    <t>Component libraries: MUI, shadcn/ui, Chakra, Ant Design</t>
  </si>
  <si>
    <t>Theming (CSS variables vs a theme provider)</t>
  </si>
  <si>
    <t>Scoping &amp; collision avoidance</t>
  </si>
  <si>
    <t>8.18 Error handling</t>
  </si>
  <si>
    <t>Error boundaries — what they catch and what they don't</t>
  </si>
  <si>
    <t>Guaranteed. Not event handlers, not async, not SSR</t>
  </si>
  <si>
    <t>Why they're still class components</t>
  </si>
  <si>
    <t>(getDerivedStateFromError / componentDidCatch)</t>
  </si>
  <si>
    <t>react-error-boundary</t>
  </si>
  <si>
    <t>Fallback UI &amp; reset</t>
  </si>
  <si>
    <t>Errors in effects and event handlers</t>
  </si>
  <si>
    <t>Reporting to Sentry</t>
  </si>
  <si>
    <t>8.19 React 18 / 19 features</t>
  </si>
  <si>
    <t>Concurrent rendering (the mental model)</t>
  </si>
  <si>
    <t>Rendering is interruptible now</t>
  </si>
  <si>
    <t>Automatic batching everywhere</t>
  </si>
  <si>
    <t>The React 17→18 behaviour change</t>
  </si>
  <si>
    <t>Suspense for code splitting and for data</t>
  </si>
  <si>
    <t>useTransition / useDeferredValue</t>
  </si>
  <si>
    <t>Server Components vs Client Components</t>
  </si>
  <si>
    <t>"use client" boundary — increasingly asked</t>
  </si>
  <si>
    <t>Server actions &amp; form actions ("use server")</t>
  </si>
  <si>
    <t>useActionState, useFormStatus, useOptimistic</t>
  </si>
  <si>
    <t>Ref as a prop; ref cleanup</t>
  </si>
  <si>
    <t>Document metadata &amp; stylesheet hoisting</t>
  </si>
  <si>
    <t>React Compiler</t>
  </si>
  <si>
    <t>Migration notes 17 → 18 → 19</t>
  </si>
  <si>
    <t>8.20 React + TypeScript</t>
  </si>
  <si>
    <t>Typing props (type vs interface)</t>
  </si>
  <si>
    <t>Typing children (ReactNode)</t>
  </si>
  <si>
    <t>useState&lt;T&gt; and when inference isn't enough</t>
  </si>
  <si>
    <t>useState&lt;User | null&gt;(null)</t>
  </si>
  <si>
    <t>Typing events (React.ChangeEvent&lt;HTMLInputElement&gt;, FormEvent, MouseEvent)</t>
  </si>
  <si>
    <t>ComponentProps&lt;'button'&gt; &amp; extending native props</t>
  </si>
  <si>
    <t>Building a typed Button</t>
  </si>
  <si>
    <t>Typing useRef (useRef&lt;HTMLDivElement&gt;(null))</t>
  </si>
  <si>
    <t>Typing reducers with discriminated union actions</t>
  </si>
  <si>
    <t>A strong answer</t>
  </si>
  <si>
    <t>Typing context (and the null default problem)</t>
  </si>
  <si>
    <t>Generic components</t>
  </si>
  <si>
    <t>Typing custom hooks &amp; as const return tuples</t>
  </si>
  <si>
    <t>Zod for API response validation</t>
  </si>
  <si>
    <t>8.21 React ecosystem awareness</t>
  </si>
  <si>
    <t>Vite + React project structure</t>
  </si>
  <si>
    <t>Folder conventions (feature-based vs type-based)</t>
  </si>
  <si>
    <t>Env vars in Vite / Next</t>
  </si>
  <si>
    <t>React Hook Form, React Table, React Select</t>
  </si>
  <si>
    <t>Framer Motion / animation in React</t>
  </si>
  <si>
    <t>i18n (react-i18next)</t>
  </si>
  <si>
    <t>React Native — awareness only</t>
  </si>
  <si>
    <t>Hook limitations</t>
  </si>
  <si>
    <t>Sharing logic is not sharing state; hooks are not general service functions</t>
  </si>
  <si>
    <t>useId is not a data key</t>
  </si>
  <si>
    <t>Stable a11y relationships only — never the key for a mapped list</t>
  </si>
  <si>
    <t>Effect events</t>
  </si>
  <si>
    <t>Separating non-reactive logic from an effect, where the React version supports it</t>
  </si>
  <si>
    <t>Ref timing</t>
  </si>
  <si>
    <t>Read and write DOM refs at the right stage; never during render</t>
  </si>
  <si>
    <t>Avoid duplicate state</t>
  </si>
  <si>
    <t>Derive filtered lists and totals; never keep a second synchronised copy</t>
  </si>
  <si>
    <t>Profile before optimising</t>
  </si>
  <si>
    <t>Find a real slow render, then show a before/after</t>
  </si>
  <si>
    <t>Dependent requests</t>
  </si>
  <si>
    <t>Enable only once prerequisites exist; avoid accidental waterfalls</t>
  </si>
  <si>
    <t>Session transitions</t>
  </si>
  <si>
    <t>Clear user-scoped caches on logout or account switch — a real leak class</t>
  </si>
  <si>
    <t>Version-aware implementation</t>
  </si>
  <si>
    <t>Check the installed version before copying an API from a tutorial</t>
  </si>
  <si>
    <t>Navigation UX</t>
  </si>
  <si>
    <t>Scroll restoration, title updates, focus move, understandable pending state</t>
  </si>
  <si>
    <t>Why accessibility — users, legal, SEO, overlap with good UX</t>
  </si>
  <si>
    <t>POUR principles (Perceivable, Operable, Understandable, Robust)</t>
  </si>
  <si>
    <t>WCAG 2.1/2.2 and A / AA / AAA levels</t>
  </si>
  <si>
    <t>AA is the practical target</t>
  </si>
  <si>
    <t>Disability categories: visual, motor, auditory, cognitive</t>
  </si>
  <si>
    <t>Assistive technologies; how a screen reader traverses a page</t>
  </si>
  <si>
    <t>Semantic HTML first; ARIA second</t>
  </si>
  <si>
    <t>"The first rule of ARIA is don't use ARIA"</t>
  </si>
  <si>
    <t>The accessibility tree</t>
  </si>
  <si>
    <t>alt text decision tree</t>
  </si>
  <si>
    <t>Keyboard navigation — everything interactive reachable and operable</t>
  </si>
  <si>
    <t>Focus order, focus styles, never outline: none without a replacement</t>
  </si>
  <si>
    <t>:focus-visible</t>
  </si>
  <si>
    <t>Focus management: move focus into a modal, restore it on close</t>
  </si>
  <si>
    <t>Focus trapping</t>
  </si>
  <si>
    <t>Implementing an accessible modal is a common task</t>
  </si>
  <si>
    <t>Skip links</t>
  </si>
  <si>
    <t>ARIA roles, states &amp; properties</t>
  </si>
  <si>
    <t>aria-label, aria-labelledby, aria-describedby, aria-expanded, aria-hidden, aria-current, aria-controls</t>
  </si>
  <si>
    <t>Live regions (aria-live, role="status", role="alert")</t>
  </si>
  <si>
    <t>Announcing async updates — both syllabi teach it</t>
  </si>
  <si>
    <t>Landmarks &amp; headings for navigation</t>
  </si>
  <si>
    <t>Accessible forms: labels, grouping, error association, aria-invalid</t>
  </si>
  <si>
    <t>Colour contrast 4.5:1 / 3:1; don't rely on colour alone</t>
  </si>
  <si>
    <t>Text resizing / zoom to 200%</t>
  </si>
  <si>
    <t>Touch target size (~44px)</t>
  </si>
  <si>
    <t>Hiding content correctly: display:none vs aria-hidden vs .sr-only</t>
  </si>
  <si>
    <t>Accessible names &amp; the naming algorithm</t>
  </si>
  <si>
    <t>Tooling: axe DevTools, Lighthouse, WAVE, eslint-plugin-jsx-a11y, jest-axe</t>
  </si>
  <si>
    <t>"How do you test accessibility?" — automated catches ~30%, then manual keyboard + screen reader</t>
  </si>
  <si>
    <t>Manual testing: keyboard-only pass, VoiceOver / NVDA basics</t>
  </si>
  <si>
    <t>React specifics: htmlFor, useId, fragments over wrapper divs, route-change announcements</t>
  </si>
  <si>
    <t>Accessible patterns: modal, accordion, tabs, dropdown, tooltip, carousel</t>
  </si>
  <si>
    <t>WAI-ARIA Authoring Practices as the reference</t>
  </si>
  <si>
    <t>Widget patterns</t>
  </si>
  <si>
    <t>Tabs vs disclosure vs menu vs listbox vs combobox</t>
  </si>
  <si>
    <t>Five distinct interaction models; people conflate menu and listbox constantly</t>
  </si>
  <si>
    <t>Accessible authentication</t>
  </si>
  <si>
    <t>Support paste and password managers; understandable expiry and recovery states</t>
  </si>
  <si>
    <t>Situational and temporary constraints</t>
  </si>
  <si>
    <t>Bright sunlight, a broken arm, a noisy room — not only permanent disability</t>
  </si>
  <si>
    <t>Accessible name computation order</t>
  </si>
  <si>
    <t>aria-labelledby beats aria-label beats content beats title</t>
  </si>
  <si>
    <t>Why performance is a business metric</t>
  </si>
  <si>
    <t>Legacy metrics and their limits (DOMContentLoaded, load)</t>
  </si>
  <si>
    <t>Core Web Vitals: LCP, CLS, INP</t>
  </si>
  <si>
    <t>Guaranteed. Know the thresholds: LCP ≤2.5s, CLS ≤0.1, INP ≤200ms</t>
  </si>
  <si>
    <t>FCP, TTFB, TBT, FID (retired)</t>
  </si>
  <si>
    <t>Improving LCP</t>
  </si>
  <si>
    <t>Preload the hero, fetchpriority="high", don't lazy-load it, cut TTFB, compress images</t>
  </si>
  <si>
    <t>Improving CLS</t>
  </si>
  <si>
    <t>Size attributes, aspect-ratio, reserve ad/embed space, font-display strategy, no layout-shifting injections</t>
  </si>
  <si>
    <t>Improving INP</t>
  </si>
  <si>
    <t>Break up long tasks, yield to the main thread, debounce, move work to a worker</t>
  </si>
  <si>
    <t>Waterfall charts &amp; request chains</t>
  </si>
  <si>
    <t>Flame charts &amp; long tasks</t>
  </si>
  <si>
    <t>Lab vs field data (Lighthouse vs CrUX / RUM)</t>
  </si>
  <si>
    <t>Why your Lighthouse 100 doesn't match reality</t>
  </si>
  <si>
    <t>Tools: Lighthouse, WebPageTest, Web Vitals extension, PerformanceObserver</t>
  </si>
  <si>
    <t>Performance budgets</t>
  </si>
  <si>
    <t>Bundle size reduction: tree shaking, code splitting, dynamic import, dependency audit</t>
  </si>
  <si>
    <t>Image optimisation: format, responsive sizes, lazy loading, CDN</t>
  </si>
  <si>
    <t>Font loading: preload, font-display: swap, subsetting, self-hosting</t>
  </si>
  <si>
    <t>Caching: Cache-Control, ETags, immutable hashed assets, CDN</t>
  </si>
  <si>
    <t>Compression: gzip vs brotli</t>
  </si>
  <si>
    <t>HTTP/2 &amp; HTTP/3 multiplexing</t>
  </si>
  <si>
    <t>Resource hints: preconnect, dns-prefetch, preload, prefetch</t>
  </si>
  <si>
    <t>Avoiding layout thrashing</t>
  </si>
  <si>
    <t>Animating on the compositor (transform/opacity)</t>
  </si>
  <si>
    <t>Debounce / throttle for scroll &amp; input</t>
  </si>
  <si>
    <t>Virtualising long lists</t>
  </si>
  <si>
    <t>content-visibility</t>
  </si>
  <si>
    <t>Third-party script cost</t>
  </si>
  <si>
    <t>Perceived performance: skeletons, optimistic UI, streaming</t>
  </si>
  <si>
    <t>Memory leak hunting</t>
  </si>
  <si>
    <t>CSR vs SSR vs SSG vs ISR — perf trade-offs</t>
  </si>
  <si>
    <t>Diagnosing real complaints</t>
  </si>
  <si>
    <t>Cross-browser reproduction</t>
  </si>
  <si>
    <t>Narrow the environment difference before claiming a fix</t>
  </si>
  <si>
    <t>Statistics of measurement</t>
  </si>
  <si>
    <t>One Lighthouse run is a sample, not a number</t>
  </si>
  <si>
    <t>Why test; what tests are for</t>
  </si>
  <si>
    <t>The testing pyramid / trophy (unit, integration, E2E)</t>
  </si>
  <si>
    <t>Guaranteed. Have a ratio opinion</t>
  </si>
  <si>
    <t>Anatomy of a test: describe, it, Arrange-Act-Assert</t>
  </si>
  <si>
    <t>Vitest / Jest: matchers, expect, async assertions</t>
  </si>
  <si>
    <t>beforeEach / afterEach / beforeAll / afterAll</t>
  </si>
  <si>
    <t>Testing pure functions &amp; edge cases</t>
  </si>
  <si>
    <t>Referential equality in assertions (toBe vs toEqual)</t>
  </si>
  <si>
    <t>Asymmetric matchers</t>
  </si>
  <si>
    <t>React Testing Library philosophy — test behaviour, not implementation</t>
  </si>
  <si>
    <t>The key RTL talking point</t>
  </si>
  <si>
    <t>Queries: getBy / queryBy / findBy, and the priority order (getByRole first)</t>
  </si>
  <si>
    <t>getBy vs queryBy vs findBy — asked directly</t>
  </si>
  <si>
    <t>screen, render, within</t>
  </si>
  <si>
    <t>userEvent vs fireEvent</t>
  </si>
  <si>
    <t>waitFor / findBy for async UI</t>
  </si>
  <si>
    <t>Testing forms &amp; user flows</t>
  </si>
  <si>
    <t>Testing custom hooks (renderHook)</t>
  </si>
  <si>
    <t>Test doubles: stubs, spies, mocks</t>
  </si>
  <si>
    <t>Know the distinction</t>
  </si>
  <si>
    <t>vi.fn() / vi.mock(); mocking modules &amp; timers</t>
  </si>
  <si>
    <t>MSW (Mock Service Worker) — mock the network, not fetch</t>
  </si>
  <si>
    <t>FEM teaches it in two separate courses</t>
  </si>
  <si>
    <t>Snapshot testing &amp; why it's overused</t>
  </si>
  <si>
    <t>Code coverage — and why 100% isn't the goal</t>
  </si>
  <si>
    <t>E2E with Playwright / Cypress: selectors, waiting, fixtures, flakiness</t>
  </si>
  <si>
    <t>TDD — the loop, and when you actually do it</t>
  </si>
  <si>
    <t>Accessibility testing in tests (jest-axe)</t>
  </si>
  <si>
    <t>Tests in CI</t>
  </si>
  <si>
    <t>Visual regression testing</t>
  </si>
  <si>
    <t>Testing craft</t>
  </si>
  <si>
    <t>Test environment limits</t>
  </si>
  <si>
    <t>jsdom is not a browser; it has no real layout</t>
  </si>
  <si>
    <t>Reliable E2E waits</t>
  </si>
  <si>
    <t>Wait on meaningful state, never a fixed sleep</t>
  </si>
  <si>
    <t>Deterministic tests</t>
  </si>
  <si>
    <t>Control time, randomness, network and fixtures</t>
  </si>
  <si>
    <t>Regression tests</t>
  </si>
  <si>
    <t>Reproduce a real bug, fix it, cover its boundary</t>
  </si>
  <si>
    <t>Router and provider test setup</t>
  </si>
  <si>
    <t>Supply the context a component actually needs</t>
  </si>
  <si>
    <t>CSR vs SSR vs SSG vs ISR</t>
  </si>
  <si>
    <t>Guaranteed. Define each and say when you'd pick it</t>
  </si>
  <si>
    <t>Hydration — what it is, and hydration mismatch errors</t>
  </si>
  <si>
    <t>Why SSR helps SEO and LCP</t>
  </si>
  <si>
    <t>App Router vs Pages Router</t>
  </si>
  <si>
    <t>File-based routing; page, layout, loading, error, not-found</t>
  </si>
  <si>
    <t>Dynamic routes &amp; route groups</t>
  </si>
  <si>
    <t>Server Components (default) vs Client Components ("use client")</t>
  </si>
  <si>
    <t>What you can't do in a server component</t>
  </si>
  <si>
    <t>Data fetching in server components (async components)</t>
  </si>
  <si>
    <t>Server actions / form actions</t>
  </si>
  <si>
    <t>next/link, next/image, next/font</t>
  </si>
  <si>
    <t>Why next/image exists</t>
  </si>
  <si>
    <t>Metadata API</t>
  </si>
  <si>
    <t>Caching layers &amp; revalidation (revalidatePath, revalidateTag)</t>
  </si>
  <si>
    <t>Next's most confusing area — know it exists</t>
  </si>
  <si>
    <t>Route handlers / API routes</t>
  </si>
  <si>
    <t>Middleware &amp; the edge runtime</t>
  </si>
  <si>
    <t>Streaming + Suspense boundaries</t>
  </si>
  <si>
    <t>Deploying to Vercel</t>
  </si>
  <si>
    <t>Next.js vs Vite SPA — when each is the right call</t>
  </si>
  <si>
    <t>Remix / TanStack Start / Astro — awareness</t>
  </si>
  <si>
    <t>Everyday architecture</t>
  </si>
  <si>
    <t>Separation of concerns</t>
  </si>
  <si>
    <t>UI rendering, app state, domain rules, API access, storage — five different jobs</t>
  </si>
  <si>
    <t>Cohesion and coupling</t>
  </si>
  <si>
    <t>Put things that change together in the same place; reduce what modules must know</t>
  </si>
  <si>
    <t>DRY judgment</t>
  </si>
  <si>
    <t>Deduplicate business rules; do not abstract code that merely looks similar today</t>
  </si>
  <si>
    <t>SOLID vocabulary</t>
  </si>
  <si>
    <t>Explain with real examples; do not force class-heavy design onto a React app</t>
  </si>
  <si>
    <t>Pass dependencies in so logic tests without a real network or clock</t>
  </si>
  <si>
    <t>Adapter pattern</t>
  </si>
  <si>
    <t>Normalise external API shapes at one boundary instead of everywhere</t>
  </si>
  <si>
    <t>Factory pattern</t>
  </si>
  <si>
    <t>Create configured clients without setup logic scattered across files</t>
  </si>
  <si>
    <t>Observer / pub-sub</t>
  </si>
  <si>
    <t>Subscriptions and cleanup; how event-driven state updates actually fit</t>
  </si>
  <si>
    <t>Singleton tradeoffs</t>
  </si>
  <si>
    <t>Shared state, test isolation, and the multi-user server hazard</t>
  </si>
  <si>
    <t>Strategy via composition</t>
  </si>
  <si>
    <t>Swap validation or filtering behaviour through functions, not subclasses</t>
  </si>
  <si>
    <t>Explicit state modelling</t>
  </si>
  <si>
    <t>States and transitions; eliminate impossible combinations of booleans</t>
  </si>
  <si>
    <t>Refactoring discipline</t>
  </si>
  <si>
    <t>Preserve observable behaviour, change in small steps, verify the important cases</t>
  </si>
  <si>
    <t>API error normalisation</t>
  </si>
  <si>
    <t>Transport failure, validation problem and domain outcome are three different things</t>
  </si>
  <si>
    <t>Articulating tradeoffs</t>
  </si>
  <si>
    <t>Simplicity, extensibility, performance and maintenance cost, on one concrete feature</t>
  </si>
  <si>
    <t>Designing one feature end to end</t>
  </si>
  <si>
    <t>Requirements first</t>
  </si>
  <si>
    <t>Users, data size, interaction, latency, offline, accessibility — before any component</t>
  </si>
  <si>
    <t>Component decomposition</t>
  </si>
  <si>
    <t>Page, feature, shared UI and service boundaries</t>
  </si>
  <si>
    <t>State ownership map</t>
  </si>
  <si>
    <t>Local, server, URL and form state, and how updates flow between them</t>
  </si>
  <si>
    <t>API contract from the client side</t>
  </si>
  <si>
    <t>Fields, pagination, validation failures, partial responses</t>
  </si>
  <si>
    <t>Search / autocomplete design</t>
  </si>
  <si>
    <t>Debounce, cancellation, cache, keyboard nav, empty and error states</t>
  </si>
  <si>
    <t>Data table design</t>
  </si>
  <si>
    <t>Sort, filter, page, stable selection, loading states, large-data limits</t>
  </si>
  <si>
    <t>Feed design</t>
  </si>
  <si>
    <t>Pagination, dedupe, preserved scroll, optimistic reactions, bounded memory</t>
  </si>
  <si>
    <t>Multi-step form workflow</t>
  </si>
  <si>
    <t>Step state, validation, save draft, submission failure, recovery</t>
  </si>
  <si>
    <t>Cart-style derived state</t>
  </si>
  <si>
    <t>Totals, quantity updates, persistence, server validation, concurrent change</t>
  </si>
  <si>
    <t>Frontend caching strategy</t>
  </si>
  <si>
    <t>What is cached, where, for whom, for how long, and how it is invalidated</t>
  </si>
  <si>
    <t>Rendering strategy choice</t>
  </si>
  <si>
    <t>Interactivity, SEO, freshness, server cost and team constraints</t>
  </si>
  <si>
    <t>Failure design</t>
  </si>
  <si>
    <t>Slow network, empty data, denied permission, expired session, partial outage</t>
  </si>
  <si>
    <t>Start simple, name the triggers</t>
  </si>
  <si>
    <t>Propose the simple architecture and the concrete signal that would justify 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</si>
</sst>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2">
    <font>
      <sz val="11.0"/>
      <color theme="1"/>
      <name val="Calibri"/>
      <scheme val="minor"/>
    </font>
    <font>
      <b/>
      <sz val="16.0"/>
      <color rgb="FFFFFFFF"/>
      <name val="Aptos"/>
    </font>
    <font/>
    <font>
      <b/>
      <sz val="16.0"/>
      <color rgb="FFFFFFFF"/>
      <name val="Roboto"/>
    </font>
    <font>
      <i/>
      <sz val="9.0"/>
      <color rgb="FFD5DCE8"/>
      <name val="Aptos"/>
    </font>
    <font>
      <b/>
      <sz val="10.0"/>
      <color rgb="FFFFF2B8"/>
      <name val="Aptos"/>
    </font>
    <font>
      <i/>
      <sz val="9.0"/>
      <color rgb="FFD5DCE8"/>
      <name val="Roboto"/>
    </font>
    <font>
      <b/>
      <u/>
      <sz val="10.0"/>
      <color rgb="FFFFFFFF"/>
      <name val="Roboto"/>
    </font>
    <font>
      <b/>
      <u/>
      <sz val="10.0"/>
      <color rgb="FFFFFFFF"/>
      <name val="Aptos"/>
    </font>
    <font>
      <b/>
      <sz val="10.0"/>
      <color rgb="FFFFF2B8"/>
      <name val="Roboto"/>
    </font>
    <font>
      <b/>
      <u/>
      <sz val="10.0"/>
      <color rgb="FFFFFFFF"/>
      <name val="Aptos"/>
    </font>
    <font>
      <b/>
      <u/>
      <sz val="10.0"/>
      <color rgb="FFFFFFFF"/>
      <name val="Roboto"/>
    </font>
    <font>
      <b/>
      <sz val="10.0"/>
      <color rgb="FFFFFFFF"/>
      <name val="Roboto"/>
    </font>
    <font>
      <b/>
      <sz val="10.0"/>
      <color rgb="FFFFFFFF"/>
      <name val="Aptos"/>
    </font>
    <font>
      <sz val="9.0"/>
      <color rgb="FF6B7280"/>
      <name val="Roboto"/>
    </font>
    <font>
      <sz val="10.0"/>
      <color rgb="FF1A1D23"/>
      <name val="Roboto"/>
    </font>
    <font>
      <b/>
      <sz val="10.0"/>
      <color rgb="FF12633A"/>
      <name val="Roboto"/>
    </font>
    <font>
      <sz val="9.0"/>
      <color rgb="FF6B7280"/>
      <name val="Aptos"/>
    </font>
    <font>
      <b/>
      <sz val="12.0"/>
      <color rgb="FFFFFFFF"/>
      <name val="Aptos"/>
    </font>
    <font>
      <sz val="10.0"/>
      <color rgb="FF1A1D23"/>
      <name val="Aptos"/>
    </font>
    <font>
      <b/>
      <sz val="10.0"/>
      <color rgb="FF1A1D23"/>
      <name val="Aptos"/>
    </font>
    <font>
      <b/>
      <sz val="10.0"/>
      <color rgb="FF14417A"/>
      <name val="Aptos"/>
    </font>
    <font>
      <b/>
      <sz val="10.0"/>
      <color rgb="FF9A4A06"/>
      <name val="Aptos"/>
    </font>
    <font>
      <b/>
      <sz val="10.0"/>
      <color rgb="FF5B2D91"/>
      <name val="Aptos"/>
    </font>
    <font>
      <b/>
      <sz val="10.0"/>
      <color rgb="FF5A6472"/>
      <name val="Aptos"/>
    </font>
    <font>
      <b/>
      <sz val="10.0"/>
      <color rgb="FF0B5673"/>
      <name val="Roboto"/>
    </font>
    <font>
      <b/>
      <sz val="10.0"/>
      <color rgb="FF0B5673"/>
      <name val="Aptos"/>
    </font>
    <font>
      <b/>
      <sz val="10.0"/>
      <color rgb="FF96620C"/>
      <name val="Aptos"/>
    </font>
    <font>
      <sz val="10.0"/>
      <color rgb="FF3A4049"/>
      <name val="Aptos"/>
    </font>
    <font>
      <b/>
      <sz val="10.0"/>
      <color rgb="FFB42318"/>
      <name val="Roboto"/>
    </font>
    <font>
      <sz val="10.0"/>
      <color rgb="FF3A4049"/>
      <name val="Roboto"/>
    </font>
    <font>
      <b/>
      <sz val="10.0"/>
      <color rgb="FF96620C"/>
      <name val="Roboto"/>
    </font>
    <font>
      <b/>
      <sz val="10.0"/>
      <color rgb="FF9A4A06"/>
      <name val="Roboto"/>
    </font>
    <font>
      <b/>
      <sz val="10.0"/>
      <color rgb="FF14417A"/>
      <name val="Roboto"/>
    </font>
    <font>
      <b/>
      <sz val="10.0"/>
      <color rgb="FF5B2D91"/>
      <name val="Roboto"/>
    </font>
    <font>
      <i/>
      <sz val="10.0"/>
      <color rgb="FF6B7280"/>
      <name val="Aptos"/>
    </font>
    <font>
      <b/>
      <sz val="10.0"/>
      <color rgb="FF2563EB"/>
      <name val="Aptos"/>
    </font>
    <font>
      <sz val="10.0"/>
      <color rgb="FF6B7280"/>
      <name val="Aptos"/>
    </font>
    <font>
      <b/>
      <sz val="10.0"/>
      <color rgb="FF8B1D47"/>
      <name val="Aptos"/>
    </font>
    <font>
      <b/>
      <sz val="10.0"/>
      <color rgb="FF5A6472"/>
      <name val="Roboto"/>
    </font>
    <font>
      <b/>
      <sz val="10.0"/>
      <color rgb="FFB42318"/>
      <name val="Aptos"/>
    </font>
    <font>
      <b/>
      <sz val="10.0"/>
      <color rgb="FF12633A"/>
      <name val="Aptos"/>
    </font>
  </fonts>
  <fills count="18">
    <fill>
      <patternFill patternType="none"/>
    </fill>
    <fill>
      <patternFill patternType="lightGray"/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1E4E8C"/>
        <bgColor rgb="FF1E4E8C"/>
      </patternFill>
    </fill>
    <fill>
      <patternFill patternType="solid">
        <fgColor rgb="FF2563EB"/>
        <bgColor rgb="FF2563EB"/>
      </patternFill>
    </fill>
    <fill>
      <patternFill patternType="solid">
        <fgColor rgb="FF1F3A5F"/>
        <bgColor rgb="FF1F3A5F"/>
      </patternFill>
    </fill>
    <fill>
      <patternFill patternType="solid">
        <fgColor rgb="FFE7F6EC"/>
        <bgColor rgb="FFE7F6EC"/>
      </patternFill>
    </fill>
    <fill>
      <patternFill patternType="solid">
        <fgColor rgb="FFE6F0FB"/>
        <bgColor rgb="FFE6F0FB"/>
      </patternFill>
    </fill>
    <fill>
      <patternFill patternType="solid">
        <fgColor rgb="FFFDF0E3"/>
        <bgColor rgb="FFFDF0E3"/>
      </patternFill>
    </fill>
    <fill>
      <patternFill patternType="solid">
        <fgColor rgb="FFF2ECFB"/>
        <bgColor rgb="FFF2ECFB"/>
      </patternFill>
    </fill>
    <fill>
      <patternFill patternType="solid">
        <fgColor rgb="FFF1F3F6"/>
        <bgColor rgb="FFF1F3F6"/>
      </patternFill>
    </fill>
    <fill>
      <patternFill patternType="solid">
        <fgColor rgb="FFE3F3FB"/>
        <bgColor rgb="FFE3F3FB"/>
      </patternFill>
    </fill>
    <fill>
      <patternFill patternType="solid">
        <fgColor rgb="FFFEF6E0"/>
        <bgColor rgb="FFFEF6E0"/>
      </patternFill>
    </fill>
    <fill>
      <patternFill patternType="solid">
        <fgColor rgb="FFFDE8E8"/>
        <bgColor rgb="FFFDE8E8"/>
      </patternFill>
    </fill>
    <fill>
      <patternFill patternType="solid">
        <fgColor rgb="FFFBE9EF"/>
        <bgColor rgb="FFFBE9EF"/>
      </patternFill>
    </fill>
    <fill>
      <patternFill patternType="solid">
        <fgColor rgb="FFEEF1F5"/>
        <bgColor rgb="FFEEF1F5"/>
      </patternFill>
    </fill>
    <fill>
      <patternFill patternType="solid">
        <fgColor rgb="FFF1F5FB"/>
        <bgColor rgb="FFF1F5FB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</border>
    <border>
      <left style="thin">
        <color rgb="FFD9DEE7"/>
      </left>
      <top style="thin">
        <color rgb="FFD9DEE7"/>
      </top>
      <bottom style="thin">
        <color rgb="FFD9DEE7"/>
      </bottom>
    </border>
    <border>
      <top style="thin">
        <color rgb="FFD9DEE7"/>
      </top>
      <bottom style="thin">
        <color rgb="FFD9DEE7"/>
      </bottom>
    </border>
    <border>
      <right style="thin">
        <color rgb="FFD9DEE7"/>
      </right>
      <top style="thin">
        <color rgb="FFD9DEE7"/>
      </top>
      <bottom style="thin">
        <color rgb="FFD9DEE7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5" fillId="5" fontId="8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center" wrapText="0"/>
    </xf>
    <xf borderId="4" fillId="5" fontId="11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6" fontId="12" numFmtId="0" xfId="0" applyAlignment="1" applyBorder="1" applyFill="1" applyFont="1">
      <alignment horizontal="center" shrinkToFit="0" vertical="center" wrapText="1"/>
    </xf>
    <xf borderId="8" fillId="6" fontId="13" numFmtId="0" xfId="0" applyAlignment="1" applyBorder="1" applyFill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7" fontId="16" numFmtId="0" xfId="0" applyAlignment="1" applyBorder="1" applyFill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top" wrapText="0"/>
    </xf>
    <xf borderId="1" fillId="3" fontId="18" numFmtId="0" xfId="0" applyAlignment="1" applyBorder="1" applyFill="1" applyFont="1">
      <alignment shrinkToFit="0" vertical="center" wrapText="0"/>
    </xf>
    <xf borderId="8" fillId="0" fontId="19" numFmtId="0" xfId="0" applyAlignment="1" applyBorder="1" applyFont="1">
      <alignment shrinkToFit="0" vertical="top" wrapText="1"/>
    </xf>
    <xf borderId="0" fillId="0" fontId="20" numFmtId="0" xfId="0" applyAlignment="1" applyFont="1">
      <alignment horizontal="left" shrinkToFit="0" vertical="top" wrapText="1"/>
    </xf>
    <xf borderId="8" fillId="8" fontId="21" numFmtId="0" xfId="0" applyAlignment="1" applyBorder="1" applyFill="1" applyFont="1">
      <alignment horizontal="center" shrinkToFit="0" vertical="center" wrapText="0"/>
    </xf>
    <xf borderId="8" fillId="9" fontId="22" numFmtId="0" xfId="0" applyAlignment="1" applyBorder="1" applyFill="1" applyFont="1">
      <alignment horizontal="center" shrinkToFit="0" vertical="center" wrapText="0"/>
    </xf>
    <xf borderId="9" fillId="6" fontId="13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8" fillId="10" fontId="23" numFmtId="0" xfId="0" applyAlignment="1" applyBorder="1" applyFill="1" applyFont="1">
      <alignment horizontal="center" shrinkToFit="0" vertical="center" wrapText="0"/>
    </xf>
    <xf borderId="8" fillId="11" fontId="24" numFmtId="0" xfId="0" applyAlignment="1" applyBorder="1" applyFill="1" applyFont="1">
      <alignment horizontal="center" shrinkToFit="0" vertical="center" wrapText="0"/>
    </xf>
    <xf borderId="8" fillId="12" fontId="25" numFmtId="0" xfId="0" applyAlignment="1" applyBorder="1" applyFill="1" applyFont="1">
      <alignment horizontal="center" shrinkToFit="0" vertical="center" wrapText="1"/>
    </xf>
    <xf borderId="8" fillId="12" fontId="26" numFmtId="0" xfId="0" applyAlignment="1" applyBorder="1" applyFill="1" applyFont="1">
      <alignment horizontal="center" shrinkToFit="0" vertical="center" wrapText="0"/>
    </xf>
    <xf borderId="8" fillId="13" fontId="27" numFmtId="0" xfId="0" applyAlignment="1" applyBorder="1" applyFill="1" applyFont="1">
      <alignment horizontal="center" shrinkToFit="0" vertical="center" wrapText="0"/>
    </xf>
    <xf borderId="11" fillId="0" fontId="2" numFmtId="0" xfId="0" applyBorder="1" applyFont="1"/>
    <xf borderId="8" fillId="0" fontId="28" numFmtId="0" xfId="0" applyAlignment="1" applyBorder="1" applyFont="1">
      <alignment shrinkToFit="0" vertical="top" wrapText="1"/>
    </xf>
    <xf borderId="8" fillId="7" fontId="20" numFmtId="0" xfId="0" applyAlignment="1" applyBorder="1" applyFill="1" applyFont="1">
      <alignment horizontal="center" shrinkToFit="0" vertical="center" wrapText="0"/>
    </xf>
    <xf borderId="8" fillId="14" fontId="29" numFmtId="0" xfId="0" applyAlignment="1" applyBorder="1" applyFill="1" applyFont="1">
      <alignment horizontal="center" shrinkToFit="0" vertical="center" wrapText="1"/>
    </xf>
    <xf borderId="9" fillId="0" fontId="19" numFmtId="0" xfId="0" applyAlignment="1" applyBorder="1" applyFont="1">
      <alignment horizontal="left" shrinkToFit="0" vertical="top" wrapText="1"/>
    </xf>
    <xf borderId="8" fillId="0" fontId="30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0"/>
    </xf>
    <xf borderId="8" fillId="8" fontId="20" numFmtId="0" xfId="0" applyAlignment="1" applyBorder="1" applyFill="1" applyFont="1">
      <alignment horizontal="center" shrinkToFit="0" vertical="center" wrapText="0"/>
    </xf>
    <xf borderId="8" fillId="9" fontId="20" numFmtId="0" xfId="0" applyAlignment="1" applyBorder="1" applyFill="1" applyFont="1">
      <alignment horizontal="center" shrinkToFit="0" vertical="center" wrapText="0"/>
    </xf>
    <xf borderId="8" fillId="15" fontId="20" numFmtId="0" xfId="0" applyAlignment="1" applyBorder="1" applyFill="1" applyFont="1">
      <alignment horizontal="center" shrinkToFit="0" vertical="center" wrapText="0"/>
    </xf>
    <xf borderId="8" fillId="16" fontId="20" numFmtId="0" xfId="0" applyAlignment="1" applyBorder="1" applyFill="1" applyFont="1">
      <alignment horizontal="center" shrinkToFit="0" vertical="center" wrapText="0"/>
    </xf>
    <xf borderId="8" fillId="12" fontId="20" numFmtId="0" xfId="0" applyAlignment="1" applyBorder="1" applyFill="1" applyFont="1">
      <alignment horizontal="center" shrinkToFit="0" vertical="center" wrapText="0"/>
    </xf>
    <xf borderId="8" fillId="13" fontId="31" numFmtId="0" xfId="0" applyAlignment="1" applyBorder="1" applyFill="1" applyFont="1">
      <alignment horizontal="center" shrinkToFit="0" vertical="center" wrapText="1"/>
    </xf>
    <xf borderId="8" fillId="10" fontId="20" numFmtId="0" xfId="0" applyAlignment="1" applyBorder="1" applyFill="1" applyFont="1">
      <alignment horizontal="center" shrinkToFit="0" vertical="center" wrapText="0"/>
    </xf>
    <xf borderId="8" fillId="9" fontId="32" numFmtId="0" xfId="0" applyAlignment="1" applyBorder="1" applyFill="1" applyFont="1">
      <alignment horizontal="center" shrinkToFit="0" vertical="center" wrapText="1"/>
    </xf>
    <xf borderId="8" fillId="14" fontId="20" numFmtId="0" xfId="0" applyAlignment="1" applyBorder="1" applyFill="1" applyFont="1">
      <alignment horizontal="center" shrinkToFit="0" vertical="center" wrapText="0"/>
    </xf>
    <xf borderId="8" fillId="13" fontId="20" numFmtId="0" xfId="0" applyAlignment="1" applyBorder="1" applyFill="1" applyFont="1">
      <alignment horizontal="center" shrinkToFit="0" vertical="center" wrapText="0"/>
    </xf>
    <xf borderId="8" fillId="11" fontId="20" numFmtId="0" xfId="0" applyAlignment="1" applyBorder="1" applyFill="1" applyFont="1">
      <alignment horizontal="center" shrinkToFit="0" vertical="center" wrapText="0"/>
    </xf>
    <xf borderId="8" fillId="0" fontId="20" numFmtId="0" xfId="0" applyAlignment="1" applyBorder="1" applyFont="1">
      <alignment horizontal="center" shrinkToFit="0" vertical="center" wrapText="0"/>
    </xf>
    <xf borderId="8" fillId="8" fontId="33" numFmtId="0" xfId="0" applyAlignment="1" applyBorder="1" applyFill="1" applyFont="1">
      <alignment horizontal="center" shrinkToFit="0" vertical="center" wrapText="1"/>
    </xf>
    <xf borderId="8" fillId="10" fontId="34" numFmtId="0" xfId="0" applyAlignment="1" applyBorder="1" applyFill="1" applyFont="1">
      <alignment horizontal="center" shrinkToFit="0" vertical="center" wrapText="1"/>
    </xf>
    <xf borderId="0" fillId="0" fontId="35" numFmtId="0" xfId="0" applyAlignment="1" applyFont="1">
      <alignment horizontal="left" shrinkToFit="0" vertical="top" wrapText="1"/>
    </xf>
    <xf borderId="0" fillId="0" fontId="36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left" shrinkToFit="0" vertical="top" wrapText="1"/>
    </xf>
    <xf borderId="0" fillId="0" fontId="37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left" shrinkToFit="0" vertical="top" wrapText="1"/>
    </xf>
    <xf borderId="8" fillId="15" fontId="38" numFmtId="0" xfId="0" applyAlignment="1" applyBorder="1" applyFill="1" applyFont="1">
      <alignment horizontal="center" shrinkToFit="0" vertical="center" wrapText="0"/>
    </xf>
    <xf borderId="8" fillId="11" fontId="39" numFmtId="0" xfId="0" applyAlignment="1" applyBorder="1" applyFill="1" applyFont="1">
      <alignment horizontal="center" shrinkToFit="0" vertical="center" wrapText="1"/>
    </xf>
    <xf borderId="8" fillId="14" fontId="40" numFmtId="0" xfId="0" applyAlignment="1" applyBorder="1" applyFill="1" applyFont="1">
      <alignment horizontal="center" shrinkToFit="0" vertical="center" wrapText="0"/>
    </xf>
    <xf borderId="8" fillId="7" fontId="41" numFmtId="0" xfId="0" applyAlignment="1" applyBorder="1" applyFill="1" applyFont="1">
      <alignment horizontal="center" shrinkToFit="0" vertical="center" wrapText="0"/>
    </xf>
    <xf borderId="8" fillId="0" fontId="20" numFmtId="0" xfId="0" applyAlignment="1" applyBorder="1" applyFont="1">
      <alignment horizontal="left" shrinkToFit="0" vertical="top" wrapText="1"/>
    </xf>
    <xf borderId="8" fillId="0" fontId="19" numFmtId="0" xfId="0" applyAlignment="1" applyBorder="1" applyFont="1">
      <alignment horizontal="left" shrinkToFit="0" vertical="top" wrapText="1"/>
    </xf>
    <xf borderId="8" fillId="0" fontId="28" numFmtId="0" xfId="0" applyAlignment="1" applyBorder="1" applyFont="1">
      <alignment horizontal="left" shrinkToFit="0" vertical="top" wrapText="1"/>
    </xf>
    <xf borderId="9" fillId="0" fontId="20" numFmtId="0" xfId="0" applyAlignment="1" applyBorder="1" applyFont="1">
      <alignment horizontal="left" shrinkToFit="0" vertical="top" wrapText="1"/>
    </xf>
    <xf borderId="8" fillId="17" fontId="20" numFmtId="3" xfId="0" applyAlignment="1" applyBorder="1" applyFill="1" applyFont="1" applyNumberFormat="1">
      <alignment horizontal="center" shrinkToFit="0" vertical="center" wrapText="0"/>
    </xf>
    <xf borderId="8" fillId="17" fontId="20" numFmtId="2" xfId="0" applyAlignment="1" applyBorder="1" applyFill="1" applyFont="1" applyNumberFormat="1">
      <alignment horizontal="center" shrinkToFit="0" vertical="center" wrapText="0"/>
    </xf>
    <xf borderId="8" fillId="17" fontId="20" numFmtId="164" xfId="0" applyAlignment="1" applyBorder="1" applyFill="1" applyFont="1" applyNumberFormat="1">
      <alignment horizontal="center" shrinkToFit="0" vertical="center" wrapText="0"/>
    </xf>
    <xf borderId="8" fillId="0" fontId="20" numFmtId="0" xfId="0" applyAlignment="1" applyBorder="1" applyFont="1">
      <alignment horizontal="left" shrinkToFit="0" vertical="center" wrapText="0"/>
    </xf>
    <xf borderId="8" fillId="0" fontId="20" numFmtId="9" xfId="0" applyAlignment="1" applyBorder="1" applyFont="1" applyNumberFormat="1">
      <alignment horizontal="center" shrinkToFit="0" vertical="center" wrapText="0"/>
    </xf>
    <xf borderId="8" fillId="0" fontId="19" numFmtId="2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>
        <b/>
        <sz val="10.0"/>
        <color rgb="FF8A929E"/>
        <name val="Aptos"/>
      </font>
      <fill>
        <patternFill patternType="solid">
          <fgColor rgb="FFF5F6F8"/>
          <bgColor rgb="FFF5F6F8"/>
        </patternFill>
      </fill>
      <border/>
    </dxf>
    <dxf>
      <font>
        <b/>
        <sz val="10.0"/>
        <color rgb="FF96620C"/>
        <name val="Aptos"/>
      </font>
      <fill>
        <patternFill patternType="solid">
          <fgColor rgb="FFFFF6DF"/>
          <bgColor rgb="FFFFF6DF"/>
        </patternFill>
      </fill>
      <border/>
    </dxf>
    <dxf>
      <font>
        <b/>
        <sz val="10.0"/>
        <color rgb="FF14417A"/>
        <name val="Aptos"/>
      </font>
      <fill>
        <patternFill patternType="solid">
          <fgColor rgb="FFE6F0FB"/>
          <bgColor rgb="FFE6F0FB"/>
        </patternFill>
      </fill>
      <border/>
    </dxf>
    <dxf>
      <font>
        <b/>
        <sz val="10.0"/>
        <color rgb="FF1B6B45"/>
        <name val="Aptos"/>
      </font>
      <fill>
        <patternFill patternType="solid">
          <fgColor rgb="FFE3F1E8"/>
          <bgColor rgb="FFE3F1E8"/>
        </patternFill>
      </fill>
      <border/>
    </dxf>
    <dxf>
      <font>
        <b/>
        <sz val="10.0"/>
        <color rgb="FF0E5A33"/>
        <name val="Aptos"/>
      </font>
      <fill>
        <patternFill patternType="solid">
          <fgColor rgb="FFD6EFDE"/>
          <bgColor rgb="FFD6EF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Percent solid by area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% solid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Dashboard!$A$14:$A$29</c:f>
            </c:strRef>
          </c:cat>
          <c:val>
            <c:numRef>
              <c:f>Dashboard!$F$14:$F$29</c:f>
              <c:numCache/>
            </c:numRef>
          </c:val>
        </c:ser>
        <c:axId val="1679029969"/>
        <c:axId val="1682812957"/>
      </c:barChart>
      <c:catAx>
        <c:axId val="16790299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2812957"/>
      </c:catAx>
      <c:valAx>
        <c:axId val="16828129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9029969"/>
        <c:crosses val="max"/>
      </c:valAx>
    </c:plotArea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6858000" cy="4505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3F46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3" width="16.0"/>
    <col customWidth="1" min="4" max="6" width="30.0"/>
    <col customWidth="1" min="7" max="7" width="14.0"/>
    <col customWidth="1" min="8" max="26" width="8.71"/>
  </cols>
  <sheetData>
    <row r="1" ht="33.75" customHeight="1">
      <c r="A1" s="1" t="s">
        <v>3</v>
      </c>
      <c r="B1" s="2"/>
      <c r="C1" s="2"/>
      <c r="D1" s="2"/>
      <c r="E1" s="2"/>
      <c r="F1" s="2"/>
      <c r="G1" s="3"/>
    </row>
    <row r="2" ht="19.5" customHeight="1">
      <c r="A2" s="5" t="s">
        <v>4</v>
      </c>
      <c r="B2" s="2"/>
      <c r="C2" s="2"/>
      <c r="D2" s="2"/>
      <c r="E2" s="2"/>
      <c r="F2" s="2"/>
      <c r="G2" s="3"/>
    </row>
    <row r="3" ht="25.5" customHeight="1">
      <c r="A3" s="6" t="s">
        <v>8</v>
      </c>
      <c r="B3" s="12" t="s">
        <v>10</v>
      </c>
      <c r="C3" s="12" t="s">
        <v>12</v>
      </c>
      <c r="D3" s="12" t="s">
        <v>13</v>
      </c>
      <c r="E3" s="12" t="s">
        <v>15</v>
      </c>
      <c r="F3" s="12" t="s">
        <v>17</v>
      </c>
      <c r="G3" s="12" t="s">
        <v>18</v>
      </c>
    </row>
    <row r="5" ht="24.0" customHeight="1">
      <c r="A5" s="22" t="s">
        <v>32</v>
      </c>
      <c r="B5" s="2"/>
      <c r="C5" s="2"/>
      <c r="D5" s="2"/>
      <c r="E5" s="2"/>
      <c r="F5" s="3"/>
    </row>
    <row r="6" ht="18.0" customHeight="1">
      <c r="A6" s="24" t="s">
        <v>37</v>
      </c>
    </row>
    <row r="8" ht="27.75" customHeight="1">
      <c r="A8" s="17" t="s">
        <v>44</v>
      </c>
      <c r="B8" s="27" t="s">
        <v>45</v>
      </c>
      <c r="C8" s="28"/>
      <c r="D8" s="28"/>
      <c r="E8" s="28"/>
      <c r="F8" s="34"/>
    </row>
    <row r="9" ht="30.0" customHeight="1">
      <c r="A9" s="36" t="s">
        <v>33</v>
      </c>
      <c r="B9" s="38" t="s">
        <v>52</v>
      </c>
      <c r="C9" s="28"/>
      <c r="D9" s="28"/>
      <c r="E9" s="28"/>
      <c r="F9" s="28"/>
    </row>
    <row r="10" ht="30.0" customHeight="1">
      <c r="A10" s="41" t="s">
        <v>42</v>
      </c>
      <c r="B10" s="38" t="s">
        <v>54</v>
      </c>
      <c r="C10" s="28"/>
      <c r="D10" s="28"/>
      <c r="E10" s="28"/>
      <c r="F10" s="28"/>
    </row>
    <row r="11" ht="30.0" customHeight="1">
      <c r="A11" s="42" t="s">
        <v>43</v>
      </c>
      <c r="B11" s="38" t="s">
        <v>55</v>
      </c>
      <c r="C11" s="28"/>
      <c r="D11" s="28"/>
      <c r="E11" s="28"/>
      <c r="F11" s="28"/>
    </row>
    <row r="12" ht="30.0" customHeight="1">
      <c r="A12" s="43" t="s">
        <v>56</v>
      </c>
      <c r="B12" s="38" t="s">
        <v>57</v>
      </c>
      <c r="C12" s="28"/>
      <c r="D12" s="28"/>
      <c r="E12" s="28"/>
      <c r="F12" s="28"/>
    </row>
    <row r="13" ht="30.0" customHeight="1">
      <c r="A13" s="44" t="s">
        <v>58</v>
      </c>
      <c r="B13" s="38" t="s">
        <v>59</v>
      </c>
      <c r="C13" s="28"/>
      <c r="D13" s="28"/>
      <c r="E13" s="28"/>
      <c r="F13" s="28"/>
    </row>
    <row r="15" ht="27.75" customHeight="1">
      <c r="A15" s="17" t="s">
        <v>24</v>
      </c>
      <c r="B15" s="27" t="s">
        <v>61</v>
      </c>
      <c r="C15" s="28"/>
      <c r="D15" s="28"/>
      <c r="E15" s="28"/>
      <c r="F15" s="34"/>
    </row>
    <row r="16" ht="30.0" customHeight="1">
      <c r="A16" s="45" t="s">
        <v>63</v>
      </c>
      <c r="B16" s="38" t="s">
        <v>65</v>
      </c>
      <c r="C16" s="28"/>
      <c r="D16" s="28"/>
      <c r="E16" s="28"/>
      <c r="F16" s="28"/>
    </row>
    <row r="17" ht="30.0" customHeight="1">
      <c r="A17" s="42" t="s">
        <v>66</v>
      </c>
      <c r="B17" s="38" t="s">
        <v>68</v>
      </c>
      <c r="C17" s="28"/>
      <c r="D17" s="28"/>
      <c r="E17" s="28"/>
      <c r="F17" s="28"/>
    </row>
    <row r="18" ht="30.0" customHeight="1">
      <c r="A18" s="47" t="s">
        <v>72</v>
      </c>
      <c r="B18" s="38" t="s">
        <v>74</v>
      </c>
      <c r="C18" s="28"/>
      <c r="D18" s="28"/>
      <c r="E18" s="28"/>
      <c r="F18" s="28"/>
    </row>
    <row r="20" ht="27.75" customHeight="1">
      <c r="A20" s="17" t="s">
        <v>25</v>
      </c>
      <c r="B20" s="27" t="s">
        <v>75</v>
      </c>
      <c r="C20" s="28"/>
      <c r="D20" s="28"/>
      <c r="E20" s="28"/>
      <c r="F20" s="34"/>
    </row>
    <row r="21" ht="21.75" customHeight="1">
      <c r="A21" s="49" t="s">
        <v>49</v>
      </c>
      <c r="B21" s="38" t="s">
        <v>79</v>
      </c>
      <c r="C21" s="28"/>
      <c r="D21" s="28"/>
      <c r="E21" s="28"/>
      <c r="F21" s="28"/>
    </row>
    <row r="22" ht="21.75" customHeight="1">
      <c r="A22" s="50" t="s">
        <v>50</v>
      </c>
      <c r="B22" s="38" t="s">
        <v>84</v>
      </c>
      <c r="C22" s="28"/>
      <c r="D22" s="28"/>
      <c r="E22" s="28"/>
      <c r="F22" s="28"/>
    </row>
    <row r="23" ht="21.75" customHeight="1">
      <c r="A23" s="51" t="s">
        <v>47</v>
      </c>
      <c r="B23" s="38" t="s">
        <v>86</v>
      </c>
      <c r="C23" s="28"/>
      <c r="D23" s="28"/>
      <c r="E23" s="28"/>
      <c r="F23" s="2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24.0" customHeight="1">
      <c r="A39" s="22" t="s">
        <v>90</v>
      </c>
      <c r="B39" s="2"/>
      <c r="C39" s="2"/>
      <c r="D39" s="2"/>
      <c r="E39" s="2"/>
      <c r="F39" s="3"/>
    </row>
    <row r="40" ht="27.75" customHeight="1">
      <c r="A40" s="17"/>
      <c r="B40" s="17" t="s">
        <v>27</v>
      </c>
      <c r="C40" s="17" t="s">
        <v>28</v>
      </c>
      <c r="D40" s="27" t="s">
        <v>92</v>
      </c>
      <c r="E40" s="28"/>
      <c r="F40" s="34"/>
    </row>
    <row r="41" ht="19.5" customHeight="1">
      <c r="B41" s="52" t="s">
        <v>93</v>
      </c>
      <c r="C41" s="52">
        <v>0.0</v>
      </c>
      <c r="D41" s="38" t="s">
        <v>96</v>
      </c>
      <c r="E41" s="28"/>
      <c r="F41" s="28"/>
    </row>
    <row r="42" ht="19.5" customHeight="1">
      <c r="B42" s="52" t="s">
        <v>99</v>
      </c>
      <c r="C42" s="52">
        <v>1.0</v>
      </c>
      <c r="D42" s="38" t="s">
        <v>101</v>
      </c>
      <c r="E42" s="28"/>
      <c r="F42" s="28"/>
    </row>
    <row r="43" ht="19.5" customHeight="1">
      <c r="B43" s="52" t="s">
        <v>102</v>
      </c>
      <c r="C43" s="52">
        <v>2.0</v>
      </c>
      <c r="D43" s="38" t="s">
        <v>104</v>
      </c>
      <c r="E43" s="28"/>
      <c r="F43" s="28"/>
    </row>
    <row r="44" ht="19.5" customHeight="1">
      <c r="B44" s="52" t="s">
        <v>105</v>
      </c>
      <c r="C44" s="52">
        <v>3.0</v>
      </c>
      <c r="D44" s="38" t="s">
        <v>106</v>
      </c>
      <c r="E44" s="28"/>
      <c r="F44" s="28"/>
    </row>
    <row r="45" ht="19.5" customHeight="1">
      <c r="B45" s="52" t="s">
        <v>107</v>
      </c>
      <c r="C45" s="52">
        <v>4.0</v>
      </c>
      <c r="D45" s="38" t="s">
        <v>109</v>
      </c>
      <c r="E45" s="28"/>
      <c r="F45" s="28"/>
    </row>
    <row r="46" ht="15.75" customHeight="1"/>
    <row r="47" ht="30.0" customHeight="1">
      <c r="B47" s="55" t="s">
        <v>110</v>
      </c>
    </row>
    <row r="48" ht="15.75" customHeight="1"/>
    <row r="49" ht="24.0" customHeight="1">
      <c r="A49" s="22" t="s">
        <v>111</v>
      </c>
      <c r="B49" s="2"/>
      <c r="C49" s="2"/>
      <c r="D49" s="2"/>
      <c r="E49" s="2"/>
      <c r="F49" s="3"/>
    </row>
    <row r="50" ht="18.0" customHeight="1">
      <c r="A50" s="56" t="s">
        <v>116</v>
      </c>
      <c r="B50" s="57" t="s">
        <v>117</v>
      </c>
    </row>
    <row r="51" ht="18.0" customHeight="1">
      <c r="A51" s="56" t="s">
        <v>116</v>
      </c>
      <c r="B51" s="57" t="s">
        <v>118</v>
      </c>
    </row>
    <row r="52" ht="18.0" customHeight="1">
      <c r="A52" s="56" t="s">
        <v>116</v>
      </c>
      <c r="B52" s="57" t="s">
        <v>119</v>
      </c>
    </row>
    <row r="53" ht="18.0" customHeight="1">
      <c r="A53" s="56" t="s">
        <v>116</v>
      </c>
      <c r="B53" s="57" t="s">
        <v>121</v>
      </c>
    </row>
    <row r="54" ht="18.0" customHeight="1">
      <c r="A54" s="56" t="s">
        <v>116</v>
      </c>
      <c r="B54" s="57" t="s">
        <v>122</v>
      </c>
    </row>
    <row r="55" ht="18.0" customHeight="1">
      <c r="A55" s="56" t="s">
        <v>116</v>
      </c>
      <c r="B55" s="57" t="s">
        <v>123</v>
      </c>
    </row>
    <row r="56" ht="18.0" customHeight="1">
      <c r="A56" s="56" t="s">
        <v>116</v>
      </c>
      <c r="B56" s="57" t="s">
        <v>125</v>
      </c>
    </row>
    <row r="57" ht="15.75" customHeight="1"/>
    <row r="58" ht="24.0" customHeight="1">
      <c r="A58" s="22" t="s">
        <v>128</v>
      </c>
      <c r="B58" s="2"/>
      <c r="C58" s="2"/>
      <c r="D58" s="2"/>
      <c r="E58" s="2"/>
      <c r="F58" s="3"/>
    </row>
    <row r="59" ht="42.0" customHeight="1">
      <c r="A59" s="58" t="s">
        <v>130</v>
      </c>
      <c r="B59" s="59" t="s">
        <v>131</v>
      </c>
    </row>
    <row r="60" ht="42.0" customHeight="1">
      <c r="A60" s="58" t="s">
        <v>130</v>
      </c>
      <c r="B60" s="59" t="s">
        <v>134</v>
      </c>
    </row>
    <row r="61" ht="42.0" customHeight="1">
      <c r="A61" s="58" t="s">
        <v>130</v>
      </c>
      <c r="B61" s="59" t="s">
        <v>135</v>
      </c>
    </row>
    <row r="62" ht="42.0" customHeight="1">
      <c r="A62" s="58" t="s">
        <v>130</v>
      </c>
      <c r="B62" s="59" t="s">
        <v>137</v>
      </c>
    </row>
    <row r="63" ht="42.0" customHeight="1">
      <c r="A63" s="58" t="s">
        <v>130</v>
      </c>
      <c r="B63" s="59" t="s">
        <v>140</v>
      </c>
    </row>
    <row r="64" ht="42.0" customHeight="1">
      <c r="A64" s="58" t="s">
        <v>130</v>
      </c>
      <c r="B64" s="59" t="s">
        <v>141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G1"/>
    <mergeCell ref="A2:G2"/>
    <mergeCell ref="A5:F5"/>
    <mergeCell ref="A6:F6"/>
    <mergeCell ref="B8:F8"/>
    <mergeCell ref="B9:F9"/>
    <mergeCell ref="B10:F10"/>
    <mergeCell ref="B11:F11"/>
    <mergeCell ref="B12:F12"/>
    <mergeCell ref="B13:F13"/>
    <mergeCell ref="B15:F15"/>
    <mergeCell ref="B16:F16"/>
    <mergeCell ref="B17:F17"/>
    <mergeCell ref="B18:F18"/>
    <mergeCell ref="B20:F20"/>
    <mergeCell ref="B21:F21"/>
    <mergeCell ref="B22:F22"/>
    <mergeCell ref="B23:F23"/>
    <mergeCell ref="A39:F39"/>
    <mergeCell ref="D40:F40"/>
    <mergeCell ref="D41:F41"/>
    <mergeCell ref="D42:F42"/>
    <mergeCell ref="D43:F43"/>
    <mergeCell ref="D44:F44"/>
    <mergeCell ref="D45:F45"/>
    <mergeCell ref="B47:F47"/>
    <mergeCell ref="A49:F49"/>
    <mergeCell ref="B50:F50"/>
    <mergeCell ref="B59:F59"/>
    <mergeCell ref="B60:F60"/>
    <mergeCell ref="B61:F61"/>
    <mergeCell ref="B62:F62"/>
    <mergeCell ref="B63:F63"/>
    <mergeCell ref="B64:F64"/>
    <mergeCell ref="B51:F51"/>
    <mergeCell ref="B52:F52"/>
    <mergeCell ref="B53:F53"/>
    <mergeCell ref="B54:F54"/>
    <mergeCell ref="B55:F55"/>
    <mergeCell ref="B56:F56"/>
    <mergeCell ref="A58:F58"/>
  </mergeCells>
  <hyperlinks>
    <hyperlink display="Core 0–5" location="'Core Syllabus'!A1" ref="B3"/>
    <hyperlink display="Advanced" location="'Advanced Web'!A1" ref="C3"/>
    <hyperlink display="Branches" location="'Role Branches'!A1" ref="D3"/>
    <hyperlink display="Drills" location="'Interview Drills'!A1" ref="E3"/>
    <hyperlink display="Courses" location="'Course Map'!A1" ref="F3"/>
    <hyperlink display="Dashboard" location="Dashboard!A1" ref="G3"/>
  </hyperlink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6B45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3" width="30.0"/>
    <col customWidth="1" min="4" max="4" width="50.0"/>
    <col customWidth="1" min="5" max="5" width="13.71"/>
    <col customWidth="1" min="6" max="6" width="11.14"/>
    <col customWidth="1" min="7" max="7" width="15.57"/>
    <col customWidth="1" min="8" max="8" width="66.0"/>
    <col customWidth="1" min="9" max="9" width="14.0"/>
    <col customWidth="1" min="10" max="10" width="7.0"/>
    <col customWidth="1" min="11" max="11" width="30.0"/>
    <col customWidth="1" min="12" max="26" width="8.71"/>
  </cols>
  <sheetData>
    <row r="1" ht="33.75" customHeight="1">
      <c r="A1" s="4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7" t="s">
        <v>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5.5" customHeight="1">
      <c r="A3" s="8" t="s">
        <v>9</v>
      </c>
      <c r="B3" s="9"/>
      <c r="C3" s="11" t="s">
        <v>11</v>
      </c>
      <c r="D3" s="13" t="s">
        <v>12</v>
      </c>
      <c r="E3" s="8" t="s">
        <v>13</v>
      </c>
      <c r="F3" s="15"/>
      <c r="G3" s="9"/>
      <c r="H3" s="13" t="s">
        <v>15</v>
      </c>
      <c r="I3" s="8" t="s">
        <v>17</v>
      </c>
      <c r="J3" s="9"/>
      <c r="K3" s="13" t="s">
        <v>18</v>
      </c>
    </row>
    <row r="4" ht="30.0" customHeight="1">
      <c r="A4" s="16" t="s">
        <v>19</v>
      </c>
      <c r="B4" s="16" t="s">
        <v>20</v>
      </c>
      <c r="C4" s="16" t="s">
        <v>21</v>
      </c>
      <c r="D4" s="16" t="s">
        <v>22</v>
      </c>
      <c r="E4" s="16" t="s">
        <v>23</v>
      </c>
      <c r="F4" s="16" t="s">
        <v>24</v>
      </c>
      <c r="G4" s="16" t="s">
        <v>25</v>
      </c>
      <c r="H4" s="16" t="s">
        <v>26</v>
      </c>
      <c r="I4" s="16" t="s">
        <v>27</v>
      </c>
      <c r="J4" s="16" t="s">
        <v>28</v>
      </c>
      <c r="K4" s="16" t="s">
        <v>29</v>
      </c>
    </row>
    <row r="5">
      <c r="A5" s="18">
        <v>1.0</v>
      </c>
      <c r="B5" s="19" t="s">
        <v>30</v>
      </c>
      <c r="C5" s="19"/>
      <c r="D5" s="19" t="s">
        <v>31</v>
      </c>
      <c r="E5" s="20" t="s">
        <v>33</v>
      </c>
      <c r="F5" s="31" t="s">
        <v>34</v>
      </c>
      <c r="G5" s="37" t="s">
        <v>49</v>
      </c>
      <c r="H5" s="39" t="s">
        <v>53</v>
      </c>
      <c r="I5" s="19"/>
      <c r="J5" s="19" t="str">
        <f t="array" ref="J5">IF($I5="","",IFERROR(INDEX(Legend!$C$41:$C$45,MATCH($I5,Legend!$B$41:$B$45,0)),""))</f>
        <v/>
      </c>
      <c r="K5" s="19"/>
    </row>
    <row r="6">
      <c r="A6" s="18">
        <v>2.0</v>
      </c>
      <c r="B6" s="19" t="s">
        <v>30</v>
      </c>
      <c r="C6" s="19"/>
      <c r="D6" s="19" t="s">
        <v>64</v>
      </c>
      <c r="E6" s="20" t="s">
        <v>33</v>
      </c>
      <c r="F6" s="31" t="s">
        <v>34</v>
      </c>
      <c r="G6" s="46" t="s">
        <v>50</v>
      </c>
      <c r="H6" s="39" t="s">
        <v>69</v>
      </c>
      <c r="I6" s="19"/>
      <c r="J6" s="19" t="str">
        <f t="array" ref="J6">IF($I6="","",IFERROR(INDEX(Legend!$C$41:$C$45,MATCH($I6,Legend!$B$41:$B$45,0)),""))</f>
        <v/>
      </c>
      <c r="K6" s="19"/>
    </row>
    <row r="7">
      <c r="A7" s="18">
        <v>3.0</v>
      </c>
      <c r="B7" s="19" t="s">
        <v>30</v>
      </c>
      <c r="C7" s="19"/>
      <c r="D7" s="19" t="s">
        <v>76</v>
      </c>
      <c r="E7" s="20" t="s">
        <v>33</v>
      </c>
      <c r="F7" s="48" t="s">
        <v>77</v>
      </c>
      <c r="G7" s="37" t="s">
        <v>49</v>
      </c>
      <c r="H7" s="39" t="s">
        <v>78</v>
      </c>
      <c r="I7" s="19"/>
      <c r="J7" s="19" t="str">
        <f t="array" ref="J7">IF($I7="","",IFERROR(INDEX(Legend!$C$41:$C$45,MATCH($I7,Legend!$B$41:$B$45,0)),""))</f>
        <v/>
      </c>
      <c r="K7" s="19"/>
    </row>
    <row r="8">
      <c r="A8" s="18">
        <v>4.0</v>
      </c>
      <c r="B8" s="19" t="s">
        <v>30</v>
      </c>
      <c r="C8" s="19"/>
      <c r="D8" s="19" t="s">
        <v>85</v>
      </c>
      <c r="E8" s="20" t="s">
        <v>33</v>
      </c>
      <c r="F8" s="31" t="s">
        <v>34</v>
      </c>
      <c r="G8" s="37" t="s">
        <v>49</v>
      </c>
      <c r="H8" s="39" t="s">
        <v>87</v>
      </c>
      <c r="I8" s="19"/>
      <c r="J8" s="19" t="str">
        <f t="array" ref="J8">IF($I8="","",IFERROR(INDEX(Legend!$C$41:$C$45,MATCH($I8,Legend!$B$41:$B$45,0)),""))</f>
        <v/>
      </c>
      <c r="K8" s="19"/>
    </row>
    <row r="9">
      <c r="A9" s="18">
        <v>5.0</v>
      </c>
      <c r="B9" s="19" t="s">
        <v>30</v>
      </c>
      <c r="C9" s="19"/>
      <c r="D9" s="19" t="s">
        <v>97</v>
      </c>
      <c r="E9" s="53" t="s">
        <v>42</v>
      </c>
      <c r="F9" s="54" t="s">
        <v>46</v>
      </c>
      <c r="G9" s="46" t="s">
        <v>50</v>
      </c>
      <c r="H9" s="39" t="s">
        <v>103</v>
      </c>
      <c r="I9" s="19"/>
      <c r="J9" s="19" t="str">
        <f t="array" ref="J9">IF($I9="","",IFERROR(INDEX(Legend!$C$41:$C$45,MATCH($I9,Legend!$B$41:$B$45,0)),""))</f>
        <v/>
      </c>
      <c r="K9" s="19"/>
    </row>
    <row r="10">
      <c r="A10" s="18">
        <v>6.0</v>
      </c>
      <c r="B10" s="19" t="s">
        <v>30</v>
      </c>
      <c r="C10" s="19"/>
      <c r="D10" s="19" t="s">
        <v>113</v>
      </c>
      <c r="E10" s="53" t="s">
        <v>42</v>
      </c>
      <c r="F10" s="48" t="s">
        <v>77</v>
      </c>
      <c r="G10" s="46" t="s">
        <v>50</v>
      </c>
      <c r="H10" s="39" t="s">
        <v>115</v>
      </c>
      <c r="I10" s="19"/>
      <c r="J10" s="19" t="str">
        <f t="array" ref="J10">IF($I10="","",IFERROR(INDEX(Legend!$C$41:$C$45,MATCH($I10,Legend!$B$41:$B$45,0)),""))</f>
        <v/>
      </c>
      <c r="K10" s="19"/>
    </row>
    <row r="11">
      <c r="A11" s="18">
        <v>7.0</v>
      </c>
      <c r="B11" s="19" t="s">
        <v>30</v>
      </c>
      <c r="C11" s="19"/>
      <c r="D11" s="19" t="s">
        <v>126</v>
      </c>
      <c r="E11" s="53" t="s">
        <v>42</v>
      </c>
      <c r="F11" s="31" t="s">
        <v>34</v>
      </c>
      <c r="G11" s="37" t="s">
        <v>49</v>
      </c>
      <c r="H11" s="39" t="s">
        <v>129</v>
      </c>
      <c r="I11" s="19"/>
      <c r="J11" s="19" t="str">
        <f t="array" ref="J11">IF($I11="","",IFERROR(INDEX(Legend!$C$41:$C$45,MATCH($I11,Legend!$B$41:$B$45,0)),""))</f>
        <v/>
      </c>
      <c r="K11" s="19"/>
    </row>
    <row r="12">
      <c r="A12" s="18">
        <v>8.0</v>
      </c>
      <c r="B12" s="19" t="s">
        <v>30</v>
      </c>
      <c r="C12" s="19"/>
      <c r="D12" s="19" t="s">
        <v>136</v>
      </c>
      <c r="E12" s="53" t="s">
        <v>42</v>
      </c>
      <c r="F12" s="48" t="s">
        <v>77</v>
      </c>
      <c r="G12" s="37" t="s">
        <v>49</v>
      </c>
      <c r="H12" s="39" t="s">
        <v>138</v>
      </c>
      <c r="I12" s="19"/>
      <c r="J12" s="19" t="str">
        <f t="array" ref="J12">IF($I12="","",IFERROR(INDEX(Legend!$C$41:$C$45,MATCH($I12,Legend!$B$41:$B$45,0)),""))</f>
        <v/>
      </c>
      <c r="K12" s="19"/>
    </row>
    <row r="13">
      <c r="A13" s="18">
        <v>9.0</v>
      </c>
      <c r="B13" s="19" t="s">
        <v>30</v>
      </c>
      <c r="C13" s="19"/>
      <c r="D13" s="19" t="s">
        <v>142</v>
      </c>
      <c r="E13" s="20" t="s">
        <v>33</v>
      </c>
      <c r="F13" s="54" t="s">
        <v>46</v>
      </c>
      <c r="G13" s="61" t="s">
        <v>47</v>
      </c>
      <c r="H13" s="39" t="s">
        <v>144</v>
      </c>
      <c r="I13" s="19"/>
      <c r="J13" s="19" t="str">
        <f t="array" ref="J13">IF($I13="","",IFERROR(INDEX(Legend!$C$41:$C$45,MATCH($I13,Legend!$B$41:$B$45,0)),""))</f>
        <v/>
      </c>
      <c r="K13" s="19"/>
    </row>
    <row r="14">
      <c r="A14" s="18">
        <v>10.0</v>
      </c>
      <c r="B14" s="19" t="s">
        <v>30</v>
      </c>
      <c r="C14" s="19"/>
      <c r="D14" s="19" t="s">
        <v>147</v>
      </c>
      <c r="E14" s="53" t="s">
        <v>42</v>
      </c>
      <c r="F14" s="54" t="s">
        <v>46</v>
      </c>
      <c r="G14" s="61" t="s">
        <v>47</v>
      </c>
      <c r="H14" s="39" t="s">
        <v>148</v>
      </c>
      <c r="I14" s="19"/>
      <c r="J14" s="19" t="str">
        <f t="array" ref="J14">IF($I14="","",IFERROR(INDEX(Legend!$C$41:$C$45,MATCH($I14,Legend!$B$41:$B$45,0)),""))</f>
        <v/>
      </c>
      <c r="K14" s="19"/>
    </row>
    <row r="15">
      <c r="A15" s="18">
        <v>11.0</v>
      </c>
      <c r="B15" s="19" t="s">
        <v>30</v>
      </c>
      <c r="C15" s="19"/>
      <c r="D15" s="19" t="s">
        <v>153</v>
      </c>
      <c r="E15" s="53" t="s">
        <v>42</v>
      </c>
      <c r="F15" s="48" t="s">
        <v>77</v>
      </c>
      <c r="G15" s="46" t="s">
        <v>50</v>
      </c>
      <c r="H15" s="39" t="s">
        <v>154</v>
      </c>
      <c r="I15" s="19"/>
      <c r="J15" s="19" t="str">
        <f t="array" ref="J15">IF($I15="","",IFERROR(INDEX(Legend!$C$41:$C$45,MATCH($I15,Legend!$B$41:$B$45,0)),""))</f>
        <v/>
      </c>
      <c r="K15" s="19"/>
    </row>
    <row r="16">
      <c r="A16" s="18">
        <v>12.0</v>
      </c>
      <c r="B16" s="19" t="s">
        <v>158</v>
      </c>
      <c r="C16" s="19" t="s">
        <v>159</v>
      </c>
      <c r="D16" s="19" t="s">
        <v>160</v>
      </c>
      <c r="E16" s="20" t="s">
        <v>33</v>
      </c>
      <c r="F16" s="31" t="s">
        <v>34</v>
      </c>
      <c r="G16" s="46" t="s">
        <v>50</v>
      </c>
      <c r="H16" s="39" t="s">
        <v>161</v>
      </c>
      <c r="I16" s="19"/>
      <c r="J16" s="19" t="str">
        <f t="array" ref="J16">IF($I16="","",IFERROR(INDEX(Legend!$C$41:$C$45,MATCH($I16,Legend!$B$41:$B$45,0)),""))</f>
        <v/>
      </c>
      <c r="K16" s="19"/>
    </row>
    <row r="17">
      <c r="A17" s="18">
        <v>13.0</v>
      </c>
      <c r="B17" s="19" t="s">
        <v>158</v>
      </c>
      <c r="C17" s="19" t="s">
        <v>159</v>
      </c>
      <c r="D17" s="19" t="s">
        <v>166</v>
      </c>
      <c r="E17" s="20" t="s">
        <v>33</v>
      </c>
      <c r="F17" s="31" t="s">
        <v>34</v>
      </c>
      <c r="G17" s="37" t="s">
        <v>49</v>
      </c>
      <c r="H17" s="39"/>
      <c r="I17" s="19"/>
      <c r="J17" s="19" t="str">
        <f t="array" ref="J17">IF($I17="","",IFERROR(INDEX(Legend!$C$41:$C$45,MATCH($I17,Legend!$B$41:$B$45,0)),""))</f>
        <v/>
      </c>
      <c r="K17" s="19"/>
    </row>
    <row r="18">
      <c r="A18" s="18">
        <v>14.0</v>
      </c>
      <c r="B18" s="19" t="s">
        <v>158</v>
      </c>
      <c r="C18" s="19" t="s">
        <v>159</v>
      </c>
      <c r="D18" s="19" t="s">
        <v>171</v>
      </c>
      <c r="E18" s="20" t="s">
        <v>33</v>
      </c>
      <c r="F18" s="31" t="s">
        <v>34</v>
      </c>
      <c r="G18" s="37" t="s">
        <v>49</v>
      </c>
      <c r="H18" s="39"/>
      <c r="I18" s="19"/>
      <c r="J18" s="19" t="str">
        <f t="array" ref="J18">IF($I18="","",IFERROR(INDEX(Legend!$C$41:$C$45,MATCH($I18,Legend!$B$41:$B$45,0)),""))</f>
        <v/>
      </c>
      <c r="K18" s="19"/>
    </row>
    <row r="19">
      <c r="A19" s="18">
        <v>15.0</v>
      </c>
      <c r="B19" s="19" t="s">
        <v>158</v>
      </c>
      <c r="C19" s="19" t="s">
        <v>159</v>
      </c>
      <c r="D19" s="19" t="s">
        <v>175</v>
      </c>
      <c r="E19" s="20" t="s">
        <v>33</v>
      </c>
      <c r="F19" s="31" t="s">
        <v>34</v>
      </c>
      <c r="G19" s="37" t="s">
        <v>49</v>
      </c>
      <c r="H19" s="39" t="s">
        <v>176</v>
      </c>
      <c r="I19" s="19"/>
      <c r="J19" s="19" t="str">
        <f t="array" ref="J19">IF($I19="","",IFERROR(INDEX(Legend!$C$41:$C$45,MATCH($I19,Legend!$B$41:$B$45,0)),""))</f>
        <v/>
      </c>
      <c r="K19" s="19"/>
    </row>
    <row r="20">
      <c r="A20" s="18">
        <v>16.0</v>
      </c>
      <c r="B20" s="19" t="s">
        <v>158</v>
      </c>
      <c r="C20" s="19" t="s">
        <v>159</v>
      </c>
      <c r="D20" s="19" t="s">
        <v>181</v>
      </c>
      <c r="E20" s="20" t="s">
        <v>33</v>
      </c>
      <c r="F20" s="54" t="s">
        <v>46</v>
      </c>
      <c r="G20" s="61" t="s">
        <v>47</v>
      </c>
      <c r="H20" s="39"/>
      <c r="I20" s="19"/>
      <c r="J20" s="19" t="str">
        <f t="array" ref="J20">IF($I20="","",IFERROR(INDEX(Legend!$C$41:$C$45,MATCH($I20,Legend!$B$41:$B$45,0)),""))</f>
        <v/>
      </c>
      <c r="K20" s="19"/>
    </row>
    <row r="21" ht="15.75" customHeight="1">
      <c r="A21" s="18">
        <v>17.0</v>
      </c>
      <c r="B21" s="19" t="s">
        <v>158</v>
      </c>
      <c r="C21" s="19" t="s">
        <v>159</v>
      </c>
      <c r="D21" s="19" t="s">
        <v>186</v>
      </c>
      <c r="E21" s="20" t="s">
        <v>33</v>
      </c>
      <c r="F21" s="48" t="s">
        <v>77</v>
      </c>
      <c r="G21" s="37" t="s">
        <v>49</v>
      </c>
      <c r="H21" s="39" t="s">
        <v>187</v>
      </c>
      <c r="I21" s="19"/>
      <c r="J21" s="19" t="str">
        <f t="array" ref="J21">IF($I21="","",IFERROR(INDEX(Legend!$C$41:$C$45,MATCH($I21,Legend!$B$41:$B$45,0)),""))</f>
        <v/>
      </c>
      <c r="K21" s="19"/>
    </row>
    <row r="22" ht="15.75" customHeight="1">
      <c r="A22" s="18">
        <v>18.0</v>
      </c>
      <c r="B22" s="19" t="s">
        <v>158</v>
      </c>
      <c r="C22" s="19" t="s">
        <v>159</v>
      </c>
      <c r="D22" s="19" t="s">
        <v>193</v>
      </c>
      <c r="E22" s="20" t="s">
        <v>33</v>
      </c>
      <c r="F22" s="31" t="s">
        <v>34</v>
      </c>
      <c r="G22" s="37" t="s">
        <v>49</v>
      </c>
      <c r="H22" s="39"/>
      <c r="I22" s="19"/>
      <c r="J22" s="19" t="str">
        <f t="array" ref="J22">IF($I22="","",IFERROR(INDEX(Legend!$C$41:$C$45,MATCH($I22,Legend!$B$41:$B$45,0)),""))</f>
        <v/>
      </c>
      <c r="K22" s="19"/>
    </row>
    <row r="23" ht="15.75" customHeight="1">
      <c r="A23" s="18">
        <v>19.0</v>
      </c>
      <c r="B23" s="19" t="s">
        <v>158</v>
      </c>
      <c r="C23" s="19" t="s">
        <v>159</v>
      </c>
      <c r="D23" s="19" t="s">
        <v>198</v>
      </c>
      <c r="E23" s="53" t="s">
        <v>42</v>
      </c>
      <c r="F23" s="31" t="s">
        <v>34</v>
      </c>
      <c r="G23" s="37" t="s">
        <v>49</v>
      </c>
      <c r="H23" s="39" t="s">
        <v>199</v>
      </c>
      <c r="I23" s="19"/>
      <c r="J23" s="19" t="str">
        <f t="array" ref="J23">IF($I23="","",IFERROR(INDEX(Legend!$C$41:$C$45,MATCH($I23,Legend!$B$41:$B$45,0)),""))</f>
        <v/>
      </c>
      <c r="K23" s="19"/>
    </row>
    <row r="24" ht="15.75" customHeight="1">
      <c r="A24" s="18">
        <v>20.0</v>
      </c>
      <c r="B24" s="19" t="s">
        <v>158</v>
      </c>
      <c r="C24" s="19" t="s">
        <v>159</v>
      </c>
      <c r="D24" s="19" t="s">
        <v>204</v>
      </c>
      <c r="E24" s="53" t="s">
        <v>42</v>
      </c>
      <c r="F24" s="31" t="s">
        <v>34</v>
      </c>
      <c r="G24" s="46" t="s">
        <v>50</v>
      </c>
      <c r="H24" s="39" t="s">
        <v>205</v>
      </c>
      <c r="I24" s="19"/>
      <c r="J24" s="19" t="str">
        <f t="array" ref="J24">IF($I24="","",IFERROR(INDEX(Legend!$C$41:$C$45,MATCH($I24,Legend!$B$41:$B$45,0)),""))</f>
        <v/>
      </c>
      <c r="K24" s="19"/>
    </row>
    <row r="25" ht="15.75" customHeight="1">
      <c r="A25" s="18">
        <v>21.0</v>
      </c>
      <c r="B25" s="19" t="s">
        <v>158</v>
      </c>
      <c r="C25" s="19" t="s">
        <v>159</v>
      </c>
      <c r="D25" s="19" t="s">
        <v>212</v>
      </c>
      <c r="E25" s="20" t="s">
        <v>33</v>
      </c>
      <c r="F25" s="54" t="s">
        <v>46</v>
      </c>
      <c r="G25" s="61" t="s">
        <v>47</v>
      </c>
      <c r="H25" s="39" t="s">
        <v>214</v>
      </c>
      <c r="I25" s="19"/>
      <c r="J25" s="19" t="str">
        <f t="array" ref="J25">IF($I25="","",IFERROR(INDEX(Legend!$C$41:$C$45,MATCH($I25,Legend!$B$41:$B$45,0)),""))</f>
        <v/>
      </c>
      <c r="K25" s="19"/>
    </row>
    <row r="26" ht="15.75" customHeight="1">
      <c r="A26" s="18">
        <v>22.0</v>
      </c>
      <c r="B26" s="19" t="s">
        <v>158</v>
      </c>
      <c r="C26" s="19" t="s">
        <v>159</v>
      </c>
      <c r="D26" s="19" t="s">
        <v>218</v>
      </c>
      <c r="E26" s="53" t="s">
        <v>42</v>
      </c>
      <c r="F26" s="54" t="s">
        <v>46</v>
      </c>
      <c r="G26" s="61" t="s">
        <v>47</v>
      </c>
      <c r="H26" s="39"/>
      <c r="I26" s="19"/>
      <c r="J26" s="19" t="str">
        <f t="array" ref="J26">IF($I26="","",IFERROR(INDEX(Legend!$C$41:$C$45,MATCH($I26,Legend!$B$41:$B$45,0)),""))</f>
        <v/>
      </c>
      <c r="K26" s="19"/>
    </row>
    <row r="27" ht="15.75" customHeight="1">
      <c r="A27" s="18">
        <v>23.0</v>
      </c>
      <c r="B27" s="19" t="s">
        <v>158</v>
      </c>
      <c r="C27" s="19" t="s">
        <v>220</v>
      </c>
      <c r="D27" s="19" t="s">
        <v>222</v>
      </c>
      <c r="E27" s="20" t="s">
        <v>33</v>
      </c>
      <c r="F27" s="48" t="s">
        <v>77</v>
      </c>
      <c r="G27" s="37" t="s">
        <v>49</v>
      </c>
      <c r="H27" s="39" t="s">
        <v>223</v>
      </c>
      <c r="I27" s="19"/>
      <c r="J27" s="19" t="str">
        <f t="array" ref="J27">IF($I27="","",IFERROR(INDEX(Legend!$C$41:$C$45,MATCH($I27,Legend!$B$41:$B$45,0)),""))</f>
        <v/>
      </c>
      <c r="K27" s="19"/>
    </row>
    <row r="28" ht="15.75" customHeight="1">
      <c r="A28" s="18">
        <v>24.0</v>
      </c>
      <c r="B28" s="19" t="s">
        <v>158</v>
      </c>
      <c r="C28" s="19" t="s">
        <v>220</v>
      </c>
      <c r="D28" s="19" t="s">
        <v>227</v>
      </c>
      <c r="E28" s="20" t="s">
        <v>33</v>
      </c>
      <c r="F28" s="31" t="s">
        <v>34</v>
      </c>
      <c r="G28" s="37" t="s">
        <v>49</v>
      </c>
      <c r="H28" s="39"/>
      <c r="I28" s="19"/>
      <c r="J28" s="19" t="str">
        <f t="array" ref="J28">IF($I28="","",IFERROR(INDEX(Legend!$C$41:$C$45,MATCH($I28,Legend!$B$41:$B$45,0)),""))</f>
        <v/>
      </c>
      <c r="K28" s="19"/>
    </row>
    <row r="29" ht="15.75" customHeight="1">
      <c r="A29" s="18">
        <v>25.0</v>
      </c>
      <c r="B29" s="19" t="s">
        <v>158</v>
      </c>
      <c r="C29" s="19" t="s">
        <v>220</v>
      </c>
      <c r="D29" s="19" t="s">
        <v>232</v>
      </c>
      <c r="E29" s="20" t="s">
        <v>33</v>
      </c>
      <c r="F29" s="48" t="s">
        <v>77</v>
      </c>
      <c r="G29" s="37" t="s">
        <v>49</v>
      </c>
      <c r="H29" s="39" t="s">
        <v>233</v>
      </c>
      <c r="I29" s="19"/>
      <c r="J29" s="19" t="str">
        <f t="array" ref="J29">IF($I29="","",IFERROR(INDEX(Legend!$C$41:$C$45,MATCH($I29,Legend!$B$41:$B$45,0)),""))</f>
        <v/>
      </c>
      <c r="K29" s="19"/>
    </row>
    <row r="30" ht="15.75" customHeight="1">
      <c r="A30" s="18">
        <v>26.0</v>
      </c>
      <c r="B30" s="19" t="s">
        <v>158</v>
      </c>
      <c r="C30" s="19" t="s">
        <v>220</v>
      </c>
      <c r="D30" s="19" t="s">
        <v>238</v>
      </c>
      <c r="E30" s="20" t="s">
        <v>33</v>
      </c>
      <c r="F30" s="31" t="s">
        <v>34</v>
      </c>
      <c r="G30" s="37" t="s">
        <v>49</v>
      </c>
      <c r="H30" s="39" t="s">
        <v>239</v>
      </c>
      <c r="I30" s="19"/>
      <c r="J30" s="19" t="str">
        <f t="array" ref="J30">IF($I30="","",IFERROR(INDEX(Legend!$C$41:$C$45,MATCH($I30,Legend!$B$41:$B$45,0)),""))</f>
        <v/>
      </c>
      <c r="K30" s="19"/>
    </row>
    <row r="31" ht="15.75" customHeight="1">
      <c r="A31" s="18">
        <v>27.0</v>
      </c>
      <c r="B31" s="19" t="s">
        <v>158</v>
      </c>
      <c r="C31" s="19" t="s">
        <v>220</v>
      </c>
      <c r="D31" s="19" t="s">
        <v>244</v>
      </c>
      <c r="E31" s="20" t="s">
        <v>33</v>
      </c>
      <c r="F31" s="54" t="s">
        <v>46</v>
      </c>
      <c r="G31" s="61" t="s">
        <v>47</v>
      </c>
      <c r="H31" s="39"/>
      <c r="I31" s="19"/>
      <c r="J31" s="19" t="str">
        <f t="array" ref="J31">IF($I31="","",IFERROR(INDEX(Legend!$C$41:$C$45,MATCH($I31,Legend!$B$41:$B$45,0)),""))</f>
        <v/>
      </c>
      <c r="K31" s="19"/>
    </row>
    <row r="32" ht="15.75" customHeight="1">
      <c r="A32" s="18">
        <v>28.0</v>
      </c>
      <c r="B32" s="19" t="s">
        <v>158</v>
      </c>
      <c r="C32" s="19" t="s">
        <v>220</v>
      </c>
      <c r="D32" s="19" t="s">
        <v>250</v>
      </c>
      <c r="E32" s="20" t="s">
        <v>33</v>
      </c>
      <c r="F32" s="54" t="s">
        <v>46</v>
      </c>
      <c r="G32" s="61" t="s">
        <v>47</v>
      </c>
      <c r="H32" s="39"/>
      <c r="I32" s="19"/>
      <c r="J32" s="19" t="str">
        <f t="array" ref="J32">IF($I32="","",IFERROR(INDEX(Legend!$C$41:$C$45,MATCH($I32,Legend!$B$41:$B$45,0)),""))</f>
        <v/>
      </c>
      <c r="K32" s="19"/>
    </row>
    <row r="33" ht="15.75" customHeight="1">
      <c r="A33" s="18">
        <v>29.0</v>
      </c>
      <c r="B33" s="19" t="s">
        <v>158</v>
      </c>
      <c r="C33" s="19" t="s">
        <v>220</v>
      </c>
      <c r="D33" s="19" t="s">
        <v>257</v>
      </c>
      <c r="E33" s="53" t="s">
        <v>42</v>
      </c>
      <c r="F33" s="54" t="s">
        <v>46</v>
      </c>
      <c r="G33" s="61" t="s">
        <v>47</v>
      </c>
      <c r="H33" s="39"/>
      <c r="I33" s="19"/>
      <c r="J33" s="19" t="str">
        <f t="array" ref="J33">IF($I33="","",IFERROR(INDEX(Legend!$C$41:$C$45,MATCH($I33,Legend!$B$41:$B$45,0)),""))</f>
        <v/>
      </c>
      <c r="K33" s="19"/>
    </row>
    <row r="34" ht="15.75" customHeight="1">
      <c r="A34" s="18">
        <v>30.0</v>
      </c>
      <c r="B34" s="19" t="s">
        <v>158</v>
      </c>
      <c r="C34" s="19" t="s">
        <v>220</v>
      </c>
      <c r="D34" s="19" t="s">
        <v>259</v>
      </c>
      <c r="E34" s="20" t="s">
        <v>33</v>
      </c>
      <c r="F34" s="31" t="s">
        <v>34</v>
      </c>
      <c r="G34" s="37" t="s">
        <v>49</v>
      </c>
      <c r="H34" s="39" t="s">
        <v>262</v>
      </c>
      <c r="I34" s="19"/>
      <c r="J34" s="19" t="str">
        <f t="array" ref="J34">IF($I34="","",IFERROR(INDEX(Legend!$C$41:$C$45,MATCH($I34,Legend!$B$41:$B$45,0)),""))</f>
        <v/>
      </c>
      <c r="K34" s="19"/>
    </row>
    <row r="35" ht="15.75" customHeight="1">
      <c r="A35" s="18">
        <v>31.0</v>
      </c>
      <c r="B35" s="19" t="s">
        <v>158</v>
      </c>
      <c r="C35" s="19" t="s">
        <v>220</v>
      </c>
      <c r="D35" s="19" t="s">
        <v>265</v>
      </c>
      <c r="E35" s="53" t="s">
        <v>42</v>
      </c>
      <c r="F35" s="31" t="s">
        <v>34</v>
      </c>
      <c r="G35" s="46" t="s">
        <v>50</v>
      </c>
      <c r="H35" s="39" t="s">
        <v>266</v>
      </c>
      <c r="I35" s="19"/>
      <c r="J35" s="19" t="str">
        <f t="array" ref="J35">IF($I35="","",IFERROR(INDEX(Legend!$C$41:$C$45,MATCH($I35,Legend!$B$41:$B$45,0)),""))</f>
        <v/>
      </c>
      <c r="K35" s="19"/>
    </row>
    <row r="36" ht="15.75" customHeight="1">
      <c r="A36" s="18">
        <v>32.0</v>
      </c>
      <c r="B36" s="19" t="s">
        <v>158</v>
      </c>
      <c r="C36" s="19" t="s">
        <v>220</v>
      </c>
      <c r="D36" s="19" t="s">
        <v>272</v>
      </c>
      <c r="E36" s="53" t="s">
        <v>42</v>
      </c>
      <c r="F36" s="31" t="s">
        <v>34</v>
      </c>
      <c r="G36" s="46" t="s">
        <v>50</v>
      </c>
      <c r="H36" s="39" t="s">
        <v>273</v>
      </c>
      <c r="I36" s="19"/>
      <c r="J36" s="19" t="str">
        <f t="array" ref="J36">IF($I36="","",IFERROR(INDEX(Legend!$C$41:$C$45,MATCH($I36,Legend!$B$41:$B$45,0)),""))</f>
        <v/>
      </c>
      <c r="K36" s="19"/>
    </row>
    <row r="37" ht="15.75" customHeight="1">
      <c r="A37" s="18">
        <v>33.0</v>
      </c>
      <c r="B37" s="19" t="s">
        <v>158</v>
      </c>
      <c r="C37" s="19" t="s">
        <v>280</v>
      </c>
      <c r="D37" s="19" t="s">
        <v>282</v>
      </c>
      <c r="E37" s="20" t="s">
        <v>33</v>
      </c>
      <c r="F37" s="48" t="s">
        <v>77</v>
      </c>
      <c r="G37" s="37" t="s">
        <v>49</v>
      </c>
      <c r="H37" s="39"/>
      <c r="I37" s="19"/>
      <c r="J37" s="19" t="str">
        <f t="array" ref="J37">IF($I37="","",IFERROR(INDEX(Legend!$C$41:$C$45,MATCH($I37,Legend!$B$41:$B$45,0)),""))</f>
        <v/>
      </c>
      <c r="K37" s="19"/>
    </row>
    <row r="38" ht="15.75" customHeight="1">
      <c r="A38" s="18">
        <v>34.0</v>
      </c>
      <c r="B38" s="19" t="s">
        <v>158</v>
      </c>
      <c r="C38" s="19" t="s">
        <v>280</v>
      </c>
      <c r="D38" s="19" t="s">
        <v>285</v>
      </c>
      <c r="E38" s="20" t="s">
        <v>33</v>
      </c>
      <c r="F38" s="31" t="s">
        <v>34</v>
      </c>
      <c r="G38" s="46" t="s">
        <v>50</v>
      </c>
      <c r="H38" s="39"/>
      <c r="I38" s="19"/>
      <c r="J38" s="19" t="str">
        <f t="array" ref="J38">IF($I38="","",IFERROR(INDEX(Legend!$C$41:$C$45,MATCH($I38,Legend!$B$41:$B$45,0)),""))</f>
        <v/>
      </c>
      <c r="K38" s="19"/>
    </row>
    <row r="39" ht="15.75" customHeight="1">
      <c r="A39" s="18">
        <v>35.0</v>
      </c>
      <c r="B39" s="19" t="s">
        <v>158</v>
      </c>
      <c r="C39" s="19" t="s">
        <v>280</v>
      </c>
      <c r="D39" s="19" t="s">
        <v>289</v>
      </c>
      <c r="E39" s="53" t="s">
        <v>42</v>
      </c>
      <c r="F39" s="31" t="s">
        <v>34</v>
      </c>
      <c r="G39" s="37" t="s">
        <v>49</v>
      </c>
      <c r="H39" s="39" t="s">
        <v>291</v>
      </c>
      <c r="I39" s="19"/>
      <c r="J39" s="19" t="str">
        <f t="array" ref="J39">IF($I39="","",IFERROR(INDEX(Legend!$C$41:$C$45,MATCH($I39,Legend!$B$41:$B$45,0)),""))</f>
        <v/>
      </c>
      <c r="K39" s="19"/>
    </row>
    <row r="40" ht="15.75" customHeight="1">
      <c r="A40" s="18">
        <v>36.0</v>
      </c>
      <c r="B40" s="19" t="s">
        <v>158</v>
      </c>
      <c r="C40" s="19" t="s">
        <v>280</v>
      </c>
      <c r="D40" s="19" t="s">
        <v>295</v>
      </c>
      <c r="E40" s="53" t="s">
        <v>42</v>
      </c>
      <c r="F40" s="31" t="s">
        <v>34</v>
      </c>
      <c r="G40" s="46" t="s">
        <v>50</v>
      </c>
      <c r="H40" s="39" t="s">
        <v>297</v>
      </c>
      <c r="I40" s="19"/>
      <c r="J40" s="19" t="str">
        <f t="array" ref="J40">IF($I40="","",IFERROR(INDEX(Legend!$C$41:$C$45,MATCH($I40,Legend!$B$41:$B$45,0)),""))</f>
        <v/>
      </c>
      <c r="K40" s="19"/>
    </row>
    <row r="41" ht="15.75" customHeight="1">
      <c r="A41" s="18">
        <v>37.0</v>
      </c>
      <c r="B41" s="19" t="s">
        <v>158</v>
      </c>
      <c r="C41" s="19" t="s">
        <v>280</v>
      </c>
      <c r="D41" s="19" t="s">
        <v>300</v>
      </c>
      <c r="E41" s="20" t="s">
        <v>33</v>
      </c>
      <c r="F41" s="54" t="s">
        <v>46</v>
      </c>
      <c r="G41" s="61" t="s">
        <v>47</v>
      </c>
      <c r="H41" s="39"/>
      <c r="I41" s="19"/>
      <c r="J41" s="19" t="str">
        <f t="array" ref="J41">IF($I41="","",IFERROR(INDEX(Legend!$C$41:$C$45,MATCH($I41,Legend!$B$41:$B$45,0)),""))</f>
        <v/>
      </c>
      <c r="K41" s="19"/>
    </row>
    <row r="42" ht="15.75" customHeight="1">
      <c r="A42" s="18">
        <v>38.0</v>
      </c>
      <c r="B42" s="19" t="s">
        <v>158</v>
      </c>
      <c r="C42" s="19" t="s">
        <v>280</v>
      </c>
      <c r="D42" s="19" t="s">
        <v>305</v>
      </c>
      <c r="E42" s="53" t="s">
        <v>42</v>
      </c>
      <c r="F42" s="54" t="s">
        <v>46</v>
      </c>
      <c r="G42" s="61" t="s">
        <v>47</v>
      </c>
      <c r="H42" s="39"/>
      <c r="I42" s="19"/>
      <c r="J42" s="19" t="str">
        <f t="array" ref="J42">IF($I42="","",IFERROR(INDEX(Legend!$C$41:$C$45,MATCH($I42,Legend!$B$41:$B$45,0)),""))</f>
        <v/>
      </c>
      <c r="K42" s="19"/>
    </row>
    <row r="43" ht="15.75" customHeight="1">
      <c r="A43" s="18">
        <v>39.0</v>
      </c>
      <c r="B43" s="19" t="s">
        <v>158</v>
      </c>
      <c r="C43" s="19" t="s">
        <v>280</v>
      </c>
      <c r="D43" s="19" t="s">
        <v>310</v>
      </c>
      <c r="E43" s="53" t="s">
        <v>42</v>
      </c>
      <c r="F43" s="31" t="s">
        <v>34</v>
      </c>
      <c r="G43" s="46" t="s">
        <v>50</v>
      </c>
      <c r="H43" s="39" t="s">
        <v>311</v>
      </c>
      <c r="I43" s="19"/>
      <c r="J43" s="19" t="str">
        <f t="array" ref="J43">IF($I43="","",IFERROR(INDEX(Legend!$C$41:$C$45,MATCH($I43,Legend!$B$41:$B$45,0)),""))</f>
        <v/>
      </c>
      <c r="K43" s="19"/>
    </row>
    <row r="44" ht="15.75" customHeight="1">
      <c r="A44" s="18">
        <v>40.0</v>
      </c>
      <c r="B44" s="19" t="s">
        <v>158</v>
      </c>
      <c r="C44" s="19" t="s">
        <v>316</v>
      </c>
      <c r="D44" s="19" t="s">
        <v>317</v>
      </c>
      <c r="E44" s="20" t="s">
        <v>33</v>
      </c>
      <c r="F44" s="31" t="s">
        <v>34</v>
      </c>
      <c r="G44" s="37" t="s">
        <v>49</v>
      </c>
      <c r="H44" s="39" t="s">
        <v>319</v>
      </c>
      <c r="I44" s="19"/>
      <c r="J44" s="19" t="str">
        <f t="array" ref="J44">IF($I44="","",IFERROR(INDEX(Legend!$C$41:$C$45,MATCH($I44,Legend!$B$41:$B$45,0)),""))</f>
        <v/>
      </c>
      <c r="K44" s="19"/>
    </row>
    <row r="45" ht="15.75" customHeight="1">
      <c r="A45" s="18">
        <v>41.0</v>
      </c>
      <c r="B45" s="19" t="s">
        <v>158</v>
      </c>
      <c r="C45" s="19" t="s">
        <v>316</v>
      </c>
      <c r="D45" s="19" t="s">
        <v>323</v>
      </c>
      <c r="E45" s="53" t="s">
        <v>42</v>
      </c>
      <c r="F45" s="31" t="s">
        <v>34</v>
      </c>
      <c r="G45" s="37" t="s">
        <v>49</v>
      </c>
      <c r="H45" s="39" t="s">
        <v>325</v>
      </c>
      <c r="I45" s="19"/>
      <c r="J45" s="19" t="str">
        <f t="array" ref="J45">IF($I45="","",IFERROR(INDEX(Legend!$C$41:$C$45,MATCH($I45,Legend!$B$41:$B$45,0)),""))</f>
        <v/>
      </c>
      <c r="K45" s="19"/>
    </row>
    <row r="46" ht="15.75" customHeight="1">
      <c r="A46" s="18">
        <v>42.0</v>
      </c>
      <c r="B46" s="19" t="s">
        <v>158</v>
      </c>
      <c r="C46" s="19" t="s">
        <v>316</v>
      </c>
      <c r="D46" s="19" t="s">
        <v>329</v>
      </c>
      <c r="E46" s="53" t="s">
        <v>42</v>
      </c>
      <c r="F46" s="31" t="s">
        <v>34</v>
      </c>
      <c r="G46" s="37" t="s">
        <v>49</v>
      </c>
      <c r="H46" s="39" t="s">
        <v>330</v>
      </c>
      <c r="I46" s="19"/>
      <c r="J46" s="19" t="str">
        <f t="array" ref="J46">IF($I46="","",IFERROR(INDEX(Legend!$C$41:$C$45,MATCH($I46,Legend!$B$41:$B$45,0)),""))</f>
        <v/>
      </c>
      <c r="K46" s="19"/>
    </row>
    <row r="47" ht="15.75" customHeight="1">
      <c r="A47" s="18">
        <v>43.0</v>
      </c>
      <c r="B47" s="19" t="s">
        <v>158</v>
      </c>
      <c r="C47" s="19" t="s">
        <v>316</v>
      </c>
      <c r="D47" s="19" t="s">
        <v>335</v>
      </c>
      <c r="E47" s="53" t="s">
        <v>42</v>
      </c>
      <c r="F47" s="31" t="s">
        <v>34</v>
      </c>
      <c r="G47" s="46" t="s">
        <v>50</v>
      </c>
      <c r="H47" s="39" t="s">
        <v>336</v>
      </c>
      <c r="I47" s="19"/>
      <c r="J47" s="19" t="str">
        <f t="array" ref="J47">IF($I47="","",IFERROR(INDEX(Legend!$C$41:$C$45,MATCH($I47,Legend!$B$41:$B$45,0)),""))</f>
        <v/>
      </c>
      <c r="K47" s="19"/>
    </row>
    <row r="48" ht="15.75" customHeight="1">
      <c r="A48" s="18">
        <v>44.0</v>
      </c>
      <c r="B48" s="19" t="s">
        <v>158</v>
      </c>
      <c r="C48" s="19" t="s">
        <v>316</v>
      </c>
      <c r="D48" s="19" t="s">
        <v>342</v>
      </c>
      <c r="E48" s="53" t="s">
        <v>42</v>
      </c>
      <c r="F48" s="31" t="s">
        <v>34</v>
      </c>
      <c r="G48" s="37" t="s">
        <v>49</v>
      </c>
      <c r="H48" s="39" t="s">
        <v>343</v>
      </c>
      <c r="I48" s="19"/>
      <c r="J48" s="19" t="str">
        <f t="array" ref="J48">IF($I48="","",IFERROR(INDEX(Legend!$C$41:$C$45,MATCH($I48,Legend!$B$41:$B$45,0)),""))</f>
        <v/>
      </c>
      <c r="K48" s="19"/>
    </row>
    <row r="49" ht="15.75" customHeight="1">
      <c r="A49" s="18">
        <v>45.0</v>
      </c>
      <c r="B49" s="19" t="s">
        <v>158</v>
      </c>
      <c r="C49" s="19" t="s">
        <v>316</v>
      </c>
      <c r="D49" s="19" t="s">
        <v>348</v>
      </c>
      <c r="E49" s="53" t="s">
        <v>42</v>
      </c>
      <c r="F49" s="31" t="s">
        <v>34</v>
      </c>
      <c r="G49" s="37" t="s">
        <v>49</v>
      </c>
      <c r="H49" s="39" t="s">
        <v>350</v>
      </c>
      <c r="I49" s="19"/>
      <c r="J49" s="19" t="str">
        <f t="array" ref="J49">IF($I49="","",IFERROR(INDEX(Legend!$C$41:$C$45,MATCH($I49,Legend!$B$41:$B$45,0)),""))</f>
        <v/>
      </c>
      <c r="K49" s="19"/>
    </row>
    <row r="50" ht="15.75" customHeight="1">
      <c r="A50" s="18">
        <v>46.0</v>
      </c>
      <c r="B50" s="19" t="s">
        <v>158</v>
      </c>
      <c r="C50" s="19" t="s">
        <v>316</v>
      </c>
      <c r="D50" s="19" t="s">
        <v>354</v>
      </c>
      <c r="E50" s="53" t="s">
        <v>42</v>
      </c>
      <c r="F50" s="48" t="s">
        <v>77</v>
      </c>
      <c r="G50" s="46" t="s">
        <v>50</v>
      </c>
      <c r="H50" s="39" t="s">
        <v>356</v>
      </c>
      <c r="I50" s="19"/>
      <c r="J50" s="19" t="str">
        <f t="array" ref="J50">IF($I50="","",IFERROR(INDEX(Legend!$C$41:$C$45,MATCH($I50,Legend!$B$41:$B$45,0)),""))</f>
        <v/>
      </c>
      <c r="K50" s="19"/>
    </row>
    <row r="51" ht="15.75" customHeight="1">
      <c r="A51" s="18">
        <v>47.0</v>
      </c>
      <c r="B51" s="19" t="s">
        <v>158</v>
      </c>
      <c r="C51" s="19" t="s">
        <v>316</v>
      </c>
      <c r="D51" s="19" t="s">
        <v>360</v>
      </c>
      <c r="E51" s="53" t="s">
        <v>42</v>
      </c>
      <c r="F51" s="48" t="s">
        <v>77</v>
      </c>
      <c r="G51" s="46" t="s">
        <v>50</v>
      </c>
      <c r="H51" s="39" t="s">
        <v>361</v>
      </c>
      <c r="I51" s="19"/>
      <c r="J51" s="19" t="str">
        <f t="array" ref="J51">IF($I51="","",IFERROR(INDEX(Legend!$C$41:$C$45,MATCH($I51,Legend!$B$41:$B$45,0)),""))</f>
        <v/>
      </c>
      <c r="K51" s="19"/>
    </row>
    <row r="52" ht="15.75" customHeight="1">
      <c r="A52" s="18">
        <v>48.0</v>
      </c>
      <c r="B52" s="19" t="s">
        <v>158</v>
      </c>
      <c r="C52" s="19" t="s">
        <v>316</v>
      </c>
      <c r="D52" s="19" t="s">
        <v>367</v>
      </c>
      <c r="E52" s="20" t="s">
        <v>33</v>
      </c>
      <c r="F52" s="54" t="s">
        <v>46</v>
      </c>
      <c r="G52" s="61" t="s">
        <v>47</v>
      </c>
      <c r="H52" s="39"/>
      <c r="I52" s="19"/>
      <c r="J52" s="19" t="str">
        <f t="array" ref="J52">IF($I52="","",IFERROR(INDEX(Legend!$C$41:$C$45,MATCH($I52,Legend!$B$41:$B$45,0)),""))</f>
        <v/>
      </c>
      <c r="K52" s="19"/>
    </row>
    <row r="53" ht="15.75" customHeight="1">
      <c r="A53" s="18">
        <v>49.0</v>
      </c>
      <c r="B53" s="19" t="s">
        <v>158</v>
      </c>
      <c r="C53" s="19" t="s">
        <v>316</v>
      </c>
      <c r="D53" s="19" t="s">
        <v>369</v>
      </c>
      <c r="E53" s="53" t="s">
        <v>42</v>
      </c>
      <c r="F53" s="31" t="s">
        <v>34</v>
      </c>
      <c r="G53" s="46" t="s">
        <v>50</v>
      </c>
      <c r="H53" s="39"/>
      <c r="I53" s="19"/>
      <c r="J53" s="19" t="str">
        <f t="array" ref="J53">IF($I53="","",IFERROR(INDEX(Legend!$C$41:$C$45,MATCH($I53,Legend!$B$41:$B$45,0)),""))</f>
        <v/>
      </c>
      <c r="K53" s="19"/>
    </row>
    <row r="54" ht="15.75" customHeight="1">
      <c r="A54" s="18">
        <v>50.0</v>
      </c>
      <c r="B54" s="19" t="s">
        <v>158</v>
      </c>
      <c r="C54" s="19" t="s">
        <v>316</v>
      </c>
      <c r="D54" s="19" t="s">
        <v>376</v>
      </c>
      <c r="E54" s="53" t="s">
        <v>42</v>
      </c>
      <c r="F54" s="54" t="s">
        <v>46</v>
      </c>
      <c r="G54" s="61" t="s">
        <v>47</v>
      </c>
      <c r="H54" s="39" t="s">
        <v>377</v>
      </c>
      <c r="I54" s="19"/>
      <c r="J54" s="19" t="str">
        <f t="array" ref="J54">IF($I54="","",IFERROR(INDEX(Legend!$C$41:$C$45,MATCH($I54,Legend!$B$41:$B$45,0)),""))</f>
        <v/>
      </c>
      <c r="K54" s="19"/>
    </row>
    <row r="55" ht="15.75" customHeight="1">
      <c r="A55" s="18">
        <v>51.0</v>
      </c>
      <c r="B55" s="19" t="s">
        <v>158</v>
      </c>
      <c r="C55" s="19" t="s">
        <v>316</v>
      </c>
      <c r="D55" s="19" t="s">
        <v>382</v>
      </c>
      <c r="E55" s="53" t="s">
        <v>42</v>
      </c>
      <c r="F55" s="31" t="s">
        <v>34</v>
      </c>
      <c r="G55" s="46" t="s">
        <v>50</v>
      </c>
      <c r="H55" s="39" t="s">
        <v>383</v>
      </c>
      <c r="I55" s="19"/>
      <c r="J55" s="19" t="str">
        <f t="array" ref="J55">IF($I55="","",IFERROR(INDEX(Legend!$C$41:$C$45,MATCH($I55,Legend!$B$41:$B$45,0)),""))</f>
        <v/>
      </c>
      <c r="K55" s="19"/>
    </row>
    <row r="56" ht="15.75" customHeight="1">
      <c r="A56" s="18">
        <v>52.0</v>
      </c>
      <c r="B56" s="19" t="s">
        <v>158</v>
      </c>
      <c r="C56" s="19" t="s">
        <v>316</v>
      </c>
      <c r="D56" s="19" t="s">
        <v>385</v>
      </c>
      <c r="E56" s="53" t="s">
        <v>42</v>
      </c>
      <c r="F56" s="54" t="s">
        <v>46</v>
      </c>
      <c r="G56" s="61" t="s">
        <v>47</v>
      </c>
      <c r="H56" s="39" t="s">
        <v>386</v>
      </c>
      <c r="I56" s="19"/>
      <c r="J56" s="19" t="str">
        <f t="array" ref="J56">IF($I56="","",IFERROR(INDEX(Legend!$C$41:$C$45,MATCH($I56,Legend!$B$41:$B$45,0)),""))</f>
        <v/>
      </c>
      <c r="K56" s="19"/>
    </row>
    <row r="57" ht="15.75" customHeight="1">
      <c r="A57" s="18">
        <v>53.0</v>
      </c>
      <c r="B57" s="19" t="s">
        <v>158</v>
      </c>
      <c r="C57" s="19" t="s">
        <v>392</v>
      </c>
      <c r="D57" s="19" t="s">
        <v>393</v>
      </c>
      <c r="E57" s="20" t="s">
        <v>33</v>
      </c>
      <c r="F57" s="31" t="s">
        <v>34</v>
      </c>
      <c r="G57" s="37" t="s">
        <v>49</v>
      </c>
      <c r="H57" s="39"/>
      <c r="I57" s="19"/>
      <c r="J57" s="19" t="str">
        <f t="array" ref="J57">IF($I57="","",IFERROR(INDEX(Legend!$C$41:$C$45,MATCH($I57,Legend!$B$41:$B$45,0)),""))</f>
        <v/>
      </c>
      <c r="K57" s="19"/>
    </row>
    <row r="58" ht="15.75" customHeight="1">
      <c r="A58" s="18">
        <v>54.0</v>
      </c>
      <c r="B58" s="19" t="s">
        <v>158</v>
      </c>
      <c r="C58" s="19" t="s">
        <v>392</v>
      </c>
      <c r="D58" s="19" t="s">
        <v>396</v>
      </c>
      <c r="E58" s="20" t="s">
        <v>33</v>
      </c>
      <c r="F58" s="31" t="s">
        <v>34</v>
      </c>
      <c r="G58" s="46" t="s">
        <v>50</v>
      </c>
      <c r="H58" s="39"/>
      <c r="I58" s="19"/>
      <c r="J58" s="19" t="str">
        <f t="array" ref="J58">IF($I58="","",IFERROR(INDEX(Legend!$C$41:$C$45,MATCH($I58,Legend!$B$41:$B$45,0)),""))</f>
        <v/>
      </c>
      <c r="K58" s="19"/>
    </row>
    <row r="59" ht="15.75" customHeight="1">
      <c r="A59" s="18">
        <v>55.0</v>
      </c>
      <c r="B59" s="19" t="s">
        <v>158</v>
      </c>
      <c r="C59" s="19" t="s">
        <v>392</v>
      </c>
      <c r="D59" s="19" t="s">
        <v>399</v>
      </c>
      <c r="E59" s="53" t="s">
        <v>42</v>
      </c>
      <c r="F59" s="31" t="s">
        <v>34</v>
      </c>
      <c r="G59" s="46" t="s">
        <v>50</v>
      </c>
      <c r="H59" s="39" t="s">
        <v>400</v>
      </c>
      <c r="I59" s="19"/>
      <c r="J59" s="19" t="str">
        <f t="array" ref="J59">IF($I59="","",IFERROR(INDEX(Legend!$C$41:$C$45,MATCH($I59,Legend!$B$41:$B$45,0)),""))</f>
        <v/>
      </c>
      <c r="K59" s="19"/>
    </row>
    <row r="60" ht="15.75" customHeight="1">
      <c r="A60" s="18">
        <v>56.0</v>
      </c>
      <c r="B60" s="19" t="s">
        <v>158</v>
      </c>
      <c r="C60" s="19" t="s">
        <v>392</v>
      </c>
      <c r="D60" s="19" t="s">
        <v>405</v>
      </c>
      <c r="E60" s="20" t="s">
        <v>33</v>
      </c>
      <c r="F60" s="31" t="s">
        <v>34</v>
      </c>
      <c r="G60" s="46" t="s">
        <v>50</v>
      </c>
      <c r="H60" s="39"/>
      <c r="I60" s="19"/>
      <c r="J60" s="19" t="str">
        <f t="array" ref="J60">IF($I60="","",IFERROR(INDEX(Legend!$C$41:$C$45,MATCH($I60,Legend!$B$41:$B$45,0)),""))</f>
        <v/>
      </c>
      <c r="K60" s="19"/>
    </row>
    <row r="61" ht="15.75" customHeight="1">
      <c r="A61" s="18">
        <v>57.0</v>
      </c>
      <c r="B61" s="19" t="s">
        <v>158</v>
      </c>
      <c r="C61" s="19" t="s">
        <v>392</v>
      </c>
      <c r="D61" s="19" t="s">
        <v>413</v>
      </c>
      <c r="E61" s="20" t="s">
        <v>33</v>
      </c>
      <c r="F61" s="48" t="s">
        <v>77</v>
      </c>
      <c r="G61" s="46" t="s">
        <v>50</v>
      </c>
      <c r="H61" s="39"/>
      <c r="I61" s="19"/>
      <c r="J61" s="19" t="str">
        <f t="array" ref="J61">IF($I61="","",IFERROR(INDEX(Legend!$C$41:$C$45,MATCH($I61,Legend!$B$41:$B$45,0)),""))</f>
        <v/>
      </c>
      <c r="K61" s="19"/>
    </row>
    <row r="62" ht="15.75" customHeight="1">
      <c r="A62" s="18">
        <v>58.0</v>
      </c>
      <c r="B62" s="19" t="s">
        <v>158</v>
      </c>
      <c r="C62" s="19" t="s">
        <v>418</v>
      </c>
      <c r="D62" s="19" t="s">
        <v>419</v>
      </c>
      <c r="E62" s="20" t="s">
        <v>33</v>
      </c>
      <c r="F62" s="48" t="s">
        <v>77</v>
      </c>
      <c r="G62" s="37" t="s">
        <v>49</v>
      </c>
      <c r="H62" s="39" t="s">
        <v>420</v>
      </c>
      <c r="I62" s="19"/>
      <c r="J62" s="19" t="str">
        <f t="array" ref="J62">IF($I62="","",IFERROR(INDEX(Legend!$C$41:$C$45,MATCH($I62,Legend!$B$41:$B$45,0)),""))</f>
        <v/>
      </c>
      <c r="K62" s="19"/>
    </row>
    <row r="63" ht="15.75" customHeight="1">
      <c r="A63" s="18">
        <v>59.0</v>
      </c>
      <c r="B63" s="19" t="s">
        <v>158</v>
      </c>
      <c r="C63" s="19" t="s">
        <v>418</v>
      </c>
      <c r="D63" s="19" t="s">
        <v>423</v>
      </c>
      <c r="E63" s="20" t="s">
        <v>33</v>
      </c>
      <c r="F63" s="31" t="s">
        <v>34</v>
      </c>
      <c r="G63" s="37" t="s">
        <v>49</v>
      </c>
      <c r="H63" s="39"/>
      <c r="I63" s="19"/>
      <c r="J63" s="19" t="str">
        <f t="array" ref="J63">IF($I63="","",IFERROR(INDEX(Legend!$C$41:$C$45,MATCH($I63,Legend!$B$41:$B$45,0)),""))</f>
        <v/>
      </c>
      <c r="K63" s="19"/>
    </row>
    <row r="64" ht="15.75" customHeight="1">
      <c r="A64" s="18">
        <v>60.0</v>
      </c>
      <c r="B64" s="19" t="s">
        <v>158</v>
      </c>
      <c r="C64" s="19" t="s">
        <v>418</v>
      </c>
      <c r="D64" s="19" t="s">
        <v>428</v>
      </c>
      <c r="E64" s="20" t="s">
        <v>33</v>
      </c>
      <c r="F64" s="48" t="s">
        <v>77</v>
      </c>
      <c r="G64" s="37" t="s">
        <v>49</v>
      </c>
      <c r="H64" s="39" t="s">
        <v>429</v>
      </c>
      <c r="I64" s="19"/>
      <c r="J64" s="19" t="str">
        <f t="array" ref="J64">IF($I64="","",IFERROR(INDEX(Legend!$C$41:$C$45,MATCH($I64,Legend!$B$41:$B$45,0)),""))</f>
        <v/>
      </c>
      <c r="K64" s="19"/>
    </row>
    <row r="65" ht="15.75" customHeight="1">
      <c r="A65" s="18">
        <v>61.0</v>
      </c>
      <c r="B65" s="19" t="s">
        <v>158</v>
      </c>
      <c r="C65" s="19" t="s">
        <v>418</v>
      </c>
      <c r="D65" s="19" t="s">
        <v>432</v>
      </c>
      <c r="E65" s="20" t="s">
        <v>33</v>
      </c>
      <c r="F65" s="48" t="s">
        <v>77</v>
      </c>
      <c r="G65" s="37" t="s">
        <v>49</v>
      </c>
      <c r="H65" s="39"/>
      <c r="I65" s="19"/>
      <c r="J65" s="19" t="str">
        <f t="array" ref="J65">IF($I65="","",IFERROR(INDEX(Legend!$C$41:$C$45,MATCH($I65,Legend!$B$41:$B$45,0)),""))</f>
        <v/>
      </c>
      <c r="K65" s="19"/>
    </row>
    <row r="66" ht="15.75" customHeight="1">
      <c r="A66" s="18">
        <v>62.0</v>
      </c>
      <c r="B66" s="19" t="s">
        <v>158</v>
      </c>
      <c r="C66" s="19" t="s">
        <v>418</v>
      </c>
      <c r="D66" s="19" t="s">
        <v>437</v>
      </c>
      <c r="E66" s="20" t="s">
        <v>33</v>
      </c>
      <c r="F66" s="48" t="s">
        <v>77</v>
      </c>
      <c r="G66" s="37" t="s">
        <v>49</v>
      </c>
      <c r="H66" s="39" t="s">
        <v>440</v>
      </c>
      <c r="I66" s="19"/>
      <c r="J66" s="19" t="str">
        <f t="array" ref="J66">IF($I66="","",IFERROR(INDEX(Legend!$C$41:$C$45,MATCH($I66,Legend!$B$41:$B$45,0)),""))</f>
        <v/>
      </c>
      <c r="K66" s="19"/>
    </row>
    <row r="67" ht="15.75" customHeight="1">
      <c r="A67" s="18">
        <v>63.0</v>
      </c>
      <c r="B67" s="19" t="s">
        <v>158</v>
      </c>
      <c r="C67" s="19" t="s">
        <v>418</v>
      </c>
      <c r="D67" s="19" t="s">
        <v>442</v>
      </c>
      <c r="E67" s="20" t="s">
        <v>33</v>
      </c>
      <c r="F67" s="31" t="s">
        <v>34</v>
      </c>
      <c r="G67" s="37" t="s">
        <v>49</v>
      </c>
      <c r="H67" s="39"/>
      <c r="I67" s="19"/>
      <c r="J67" s="19" t="str">
        <f t="array" ref="J67">IF($I67="","",IFERROR(INDEX(Legend!$C$41:$C$45,MATCH($I67,Legend!$B$41:$B$45,0)),""))</f>
        <v/>
      </c>
      <c r="K67" s="19"/>
    </row>
    <row r="68" ht="15.75" customHeight="1">
      <c r="A68" s="18">
        <v>64.0</v>
      </c>
      <c r="B68" s="19" t="s">
        <v>158</v>
      </c>
      <c r="C68" s="19" t="s">
        <v>418</v>
      </c>
      <c r="D68" s="19" t="s">
        <v>447</v>
      </c>
      <c r="E68" s="53" t="s">
        <v>42</v>
      </c>
      <c r="F68" s="31" t="s">
        <v>34</v>
      </c>
      <c r="G68" s="46" t="s">
        <v>50</v>
      </c>
      <c r="H68" s="39" t="s">
        <v>449</v>
      </c>
      <c r="I68" s="19"/>
      <c r="J68" s="19" t="str">
        <f t="array" ref="J68">IF($I68="","",IFERROR(INDEX(Legend!$C$41:$C$45,MATCH($I68,Legend!$B$41:$B$45,0)),""))</f>
        <v/>
      </c>
      <c r="K68" s="19"/>
    </row>
    <row r="69" ht="15.75" customHeight="1">
      <c r="A69" s="18">
        <v>65.0</v>
      </c>
      <c r="B69" s="19" t="s">
        <v>158</v>
      </c>
      <c r="C69" s="19" t="s">
        <v>418</v>
      </c>
      <c r="D69" s="19" t="s">
        <v>455</v>
      </c>
      <c r="E69" s="20" t="s">
        <v>33</v>
      </c>
      <c r="F69" s="48" t="s">
        <v>77</v>
      </c>
      <c r="G69" s="37" t="s">
        <v>49</v>
      </c>
      <c r="H69" s="39" t="s">
        <v>456</v>
      </c>
      <c r="I69" s="19"/>
      <c r="J69" s="19" t="str">
        <f t="array" ref="J69">IF($I69="","",IFERROR(INDEX(Legend!$C$41:$C$45,MATCH($I69,Legend!$B$41:$B$45,0)),""))</f>
        <v/>
      </c>
      <c r="K69" s="19"/>
    </row>
    <row r="70" ht="15.75" customHeight="1">
      <c r="A70" s="18">
        <v>66.0</v>
      </c>
      <c r="B70" s="19" t="s">
        <v>158</v>
      </c>
      <c r="C70" s="19" t="s">
        <v>418</v>
      </c>
      <c r="D70" s="19" t="s">
        <v>462</v>
      </c>
      <c r="E70" s="20" t="s">
        <v>33</v>
      </c>
      <c r="F70" s="48" t="s">
        <v>77</v>
      </c>
      <c r="G70" s="37" t="s">
        <v>49</v>
      </c>
      <c r="H70" s="39" t="s">
        <v>463</v>
      </c>
      <c r="I70" s="19"/>
      <c r="J70" s="19" t="str">
        <f t="array" ref="J70">IF($I70="","",IFERROR(INDEX(Legend!$C$41:$C$45,MATCH($I70,Legend!$B$41:$B$45,0)),""))</f>
        <v/>
      </c>
      <c r="K70" s="19"/>
    </row>
    <row r="71" ht="15.75" customHeight="1">
      <c r="A71" s="18">
        <v>67.0</v>
      </c>
      <c r="B71" s="19" t="s">
        <v>158</v>
      </c>
      <c r="C71" s="19" t="s">
        <v>418</v>
      </c>
      <c r="D71" s="19" t="s">
        <v>467</v>
      </c>
      <c r="E71" s="53" t="s">
        <v>42</v>
      </c>
      <c r="F71" s="31" t="s">
        <v>34</v>
      </c>
      <c r="G71" s="46" t="s">
        <v>50</v>
      </c>
      <c r="H71" s="39" t="s">
        <v>377</v>
      </c>
      <c r="I71" s="19"/>
      <c r="J71" s="19" t="str">
        <f t="array" ref="J71">IF($I71="","",IFERROR(INDEX(Legend!$C$41:$C$45,MATCH($I71,Legend!$B$41:$B$45,0)),""))</f>
        <v/>
      </c>
      <c r="K71" s="19"/>
    </row>
    <row r="72" ht="15.75" customHeight="1">
      <c r="A72" s="18">
        <v>68.0</v>
      </c>
      <c r="B72" s="19" t="s">
        <v>158</v>
      </c>
      <c r="C72" s="19" t="s">
        <v>418</v>
      </c>
      <c r="D72" s="19" t="s">
        <v>472</v>
      </c>
      <c r="E72" s="53" t="s">
        <v>42</v>
      </c>
      <c r="F72" s="31" t="s">
        <v>34</v>
      </c>
      <c r="G72" s="37" t="s">
        <v>49</v>
      </c>
      <c r="H72" s="39" t="s">
        <v>473</v>
      </c>
      <c r="I72" s="19"/>
      <c r="J72" s="19" t="str">
        <f t="array" ref="J72">IF($I72="","",IFERROR(INDEX(Legend!$C$41:$C$45,MATCH($I72,Legend!$B$41:$B$45,0)),""))</f>
        <v/>
      </c>
      <c r="K72" s="19"/>
    </row>
    <row r="73" ht="15.75" customHeight="1">
      <c r="A73" s="18">
        <v>69.0</v>
      </c>
      <c r="B73" s="19" t="s">
        <v>158</v>
      </c>
      <c r="C73" s="19" t="s">
        <v>418</v>
      </c>
      <c r="D73" s="19" t="s">
        <v>476</v>
      </c>
      <c r="E73" s="53" t="s">
        <v>42</v>
      </c>
      <c r="F73" s="31" t="s">
        <v>34</v>
      </c>
      <c r="G73" s="46" t="s">
        <v>50</v>
      </c>
      <c r="H73" s="39" t="s">
        <v>478</v>
      </c>
      <c r="I73" s="19"/>
      <c r="J73" s="19" t="str">
        <f t="array" ref="J73">IF($I73="","",IFERROR(INDEX(Legend!$C$41:$C$45,MATCH($I73,Legend!$B$41:$B$45,0)),""))</f>
        <v/>
      </c>
      <c r="K73" s="19"/>
    </row>
    <row r="74" ht="15.75" customHeight="1">
      <c r="A74" s="18">
        <v>70.0</v>
      </c>
      <c r="B74" s="19" t="s">
        <v>158</v>
      </c>
      <c r="C74" s="19" t="s">
        <v>418</v>
      </c>
      <c r="D74" s="19" t="s">
        <v>481</v>
      </c>
      <c r="E74" s="53" t="s">
        <v>42</v>
      </c>
      <c r="F74" s="31" t="s">
        <v>34</v>
      </c>
      <c r="G74" s="37" t="s">
        <v>49</v>
      </c>
      <c r="H74" s="39" t="s">
        <v>482</v>
      </c>
      <c r="I74" s="19"/>
      <c r="J74" s="19" t="str">
        <f t="array" ref="J74">IF($I74="","",IFERROR(INDEX(Legend!$C$41:$C$45,MATCH($I74,Legend!$B$41:$B$45,0)),""))</f>
        <v/>
      </c>
      <c r="K74" s="19"/>
    </row>
    <row r="75" ht="15.75" customHeight="1">
      <c r="A75" s="18">
        <v>71.0</v>
      </c>
      <c r="B75" s="19" t="s">
        <v>158</v>
      </c>
      <c r="C75" s="19" t="s">
        <v>418</v>
      </c>
      <c r="D75" s="19" t="s">
        <v>487</v>
      </c>
      <c r="E75" s="53" t="s">
        <v>42</v>
      </c>
      <c r="F75" s="31" t="s">
        <v>34</v>
      </c>
      <c r="G75" s="46" t="s">
        <v>50</v>
      </c>
      <c r="H75" s="39"/>
      <c r="I75" s="19"/>
      <c r="J75" s="19" t="str">
        <f t="array" ref="J75">IF($I75="","",IFERROR(INDEX(Legend!$C$41:$C$45,MATCH($I75,Legend!$B$41:$B$45,0)),""))</f>
        <v/>
      </c>
      <c r="K75" s="19"/>
    </row>
    <row r="76" ht="15.75" customHeight="1">
      <c r="A76" s="18">
        <v>72.0</v>
      </c>
      <c r="B76" s="19" t="s">
        <v>158</v>
      </c>
      <c r="C76" s="19" t="s">
        <v>418</v>
      </c>
      <c r="D76" s="19" t="s">
        <v>494</v>
      </c>
      <c r="E76" s="53" t="s">
        <v>42</v>
      </c>
      <c r="F76" s="48" t="s">
        <v>77</v>
      </c>
      <c r="G76" s="46" t="s">
        <v>50</v>
      </c>
      <c r="H76" s="39" t="s">
        <v>495</v>
      </c>
      <c r="I76" s="19"/>
      <c r="J76" s="19" t="str">
        <f t="array" ref="J76">IF($I76="","",IFERROR(INDEX(Legend!$C$41:$C$45,MATCH($I76,Legend!$B$41:$B$45,0)),""))</f>
        <v/>
      </c>
      <c r="K76" s="19"/>
    </row>
    <row r="77" ht="15.75" customHeight="1">
      <c r="A77" s="18">
        <v>73.0</v>
      </c>
      <c r="B77" s="19" t="s">
        <v>158</v>
      </c>
      <c r="C77" s="19" t="s">
        <v>418</v>
      </c>
      <c r="D77" s="19" t="s">
        <v>498</v>
      </c>
      <c r="E77" s="53" t="s">
        <v>42</v>
      </c>
      <c r="F77" s="31" t="s">
        <v>34</v>
      </c>
      <c r="G77" s="46" t="s">
        <v>50</v>
      </c>
      <c r="H77" s="39" t="s">
        <v>500</v>
      </c>
      <c r="I77" s="19"/>
      <c r="J77" s="19" t="str">
        <f t="array" ref="J77">IF($I77="","",IFERROR(INDEX(Legend!$C$41:$C$45,MATCH($I77,Legend!$B$41:$B$45,0)),""))</f>
        <v/>
      </c>
      <c r="K77" s="19"/>
    </row>
    <row r="78" ht="15.75" customHeight="1">
      <c r="A78" s="18">
        <v>74.0</v>
      </c>
      <c r="B78" s="19" t="s">
        <v>158</v>
      </c>
      <c r="C78" s="19" t="s">
        <v>418</v>
      </c>
      <c r="D78" s="19" t="s">
        <v>503</v>
      </c>
      <c r="E78" s="53" t="s">
        <v>42</v>
      </c>
      <c r="F78" s="54" t="s">
        <v>46</v>
      </c>
      <c r="G78" s="61" t="s">
        <v>47</v>
      </c>
      <c r="H78" s="39"/>
      <c r="I78" s="19"/>
      <c r="J78" s="19" t="str">
        <f t="array" ref="J78">IF($I78="","",IFERROR(INDEX(Legend!$C$41:$C$45,MATCH($I78,Legend!$B$41:$B$45,0)),""))</f>
        <v/>
      </c>
      <c r="K78" s="19"/>
    </row>
    <row r="79" ht="15.75" customHeight="1">
      <c r="A79" s="18">
        <v>75.0</v>
      </c>
      <c r="B79" s="19" t="s">
        <v>158</v>
      </c>
      <c r="C79" s="19" t="s">
        <v>508</v>
      </c>
      <c r="D79" s="19" t="s">
        <v>509</v>
      </c>
      <c r="E79" s="20" t="s">
        <v>33</v>
      </c>
      <c r="F79" s="31" t="s">
        <v>34</v>
      </c>
      <c r="G79" s="37" t="s">
        <v>49</v>
      </c>
      <c r="H79" s="39"/>
      <c r="I79" s="19"/>
      <c r="J79" s="19" t="str">
        <f t="array" ref="J79">IF($I79="","",IFERROR(INDEX(Legend!$C$41:$C$45,MATCH($I79,Legend!$B$41:$B$45,0)),""))</f>
        <v/>
      </c>
      <c r="K79" s="19"/>
    </row>
    <row r="80" ht="15.75" customHeight="1">
      <c r="A80" s="18">
        <v>76.0</v>
      </c>
      <c r="B80" s="19" t="s">
        <v>158</v>
      </c>
      <c r="C80" s="19" t="s">
        <v>508</v>
      </c>
      <c r="D80" s="19" t="s">
        <v>513</v>
      </c>
      <c r="E80" s="20" t="s">
        <v>33</v>
      </c>
      <c r="F80" s="31" t="s">
        <v>34</v>
      </c>
      <c r="G80" s="37" t="s">
        <v>49</v>
      </c>
      <c r="H80" s="39"/>
      <c r="I80" s="19"/>
      <c r="J80" s="19" t="str">
        <f t="array" ref="J80">IF($I80="","",IFERROR(INDEX(Legend!$C$41:$C$45,MATCH($I80,Legend!$B$41:$B$45,0)),""))</f>
        <v/>
      </c>
      <c r="K80" s="19"/>
    </row>
    <row r="81" ht="15.75" customHeight="1">
      <c r="A81" s="18">
        <v>77.0</v>
      </c>
      <c r="B81" s="19" t="s">
        <v>158</v>
      </c>
      <c r="C81" s="19" t="s">
        <v>508</v>
      </c>
      <c r="D81" s="19" t="s">
        <v>517</v>
      </c>
      <c r="E81" s="20" t="s">
        <v>33</v>
      </c>
      <c r="F81" s="48" t="s">
        <v>77</v>
      </c>
      <c r="G81" s="37" t="s">
        <v>49</v>
      </c>
      <c r="H81" s="39" t="s">
        <v>519</v>
      </c>
      <c r="I81" s="19"/>
      <c r="J81" s="19" t="str">
        <f t="array" ref="J81">IF($I81="","",IFERROR(INDEX(Legend!$C$41:$C$45,MATCH($I81,Legend!$B$41:$B$45,0)),""))</f>
        <v/>
      </c>
      <c r="K81" s="19"/>
    </row>
    <row r="82" ht="15.75" customHeight="1">
      <c r="A82" s="18">
        <v>78.0</v>
      </c>
      <c r="B82" s="19" t="s">
        <v>158</v>
      </c>
      <c r="C82" s="19" t="s">
        <v>508</v>
      </c>
      <c r="D82" s="19" t="s">
        <v>522</v>
      </c>
      <c r="E82" s="20" t="s">
        <v>33</v>
      </c>
      <c r="F82" s="31" t="s">
        <v>34</v>
      </c>
      <c r="G82" s="46" t="s">
        <v>50</v>
      </c>
      <c r="H82" s="39"/>
      <c r="I82" s="19"/>
      <c r="J82" s="19" t="str">
        <f t="array" ref="J82">IF($I82="","",IFERROR(INDEX(Legend!$C$41:$C$45,MATCH($I82,Legend!$B$41:$B$45,0)),""))</f>
        <v/>
      </c>
      <c r="K82" s="19"/>
    </row>
    <row r="83" ht="15.75" customHeight="1">
      <c r="A83" s="18">
        <v>79.0</v>
      </c>
      <c r="B83" s="19" t="s">
        <v>158</v>
      </c>
      <c r="C83" s="19" t="s">
        <v>508</v>
      </c>
      <c r="D83" s="19" t="s">
        <v>527</v>
      </c>
      <c r="E83" s="53" t="s">
        <v>42</v>
      </c>
      <c r="F83" s="31" t="s">
        <v>34</v>
      </c>
      <c r="G83" s="46" t="s">
        <v>50</v>
      </c>
      <c r="H83" s="39"/>
      <c r="I83" s="19"/>
      <c r="J83" s="19" t="str">
        <f t="array" ref="J83">IF($I83="","",IFERROR(INDEX(Legend!$C$41:$C$45,MATCH($I83,Legend!$B$41:$B$45,0)),""))</f>
        <v/>
      </c>
      <c r="K83" s="19"/>
    </row>
    <row r="84" ht="15.75" customHeight="1">
      <c r="A84" s="18">
        <v>80.0</v>
      </c>
      <c r="B84" s="19" t="s">
        <v>158</v>
      </c>
      <c r="C84" s="19" t="s">
        <v>508</v>
      </c>
      <c r="D84" s="19" t="s">
        <v>533</v>
      </c>
      <c r="E84" s="53" t="s">
        <v>42</v>
      </c>
      <c r="F84" s="31" t="s">
        <v>34</v>
      </c>
      <c r="G84" s="37" t="s">
        <v>49</v>
      </c>
      <c r="H84" s="39" t="s">
        <v>534</v>
      </c>
      <c r="I84" s="19"/>
      <c r="J84" s="19" t="str">
        <f t="array" ref="J84">IF($I84="","",IFERROR(INDEX(Legend!$C$41:$C$45,MATCH($I84,Legend!$B$41:$B$45,0)),""))</f>
        <v/>
      </c>
      <c r="K84" s="19"/>
    </row>
    <row r="85" ht="15.75" customHeight="1">
      <c r="A85" s="18">
        <v>81.0</v>
      </c>
      <c r="B85" s="19" t="s">
        <v>158</v>
      </c>
      <c r="C85" s="19" t="s">
        <v>508</v>
      </c>
      <c r="D85" s="19" t="s">
        <v>538</v>
      </c>
      <c r="E85" s="53" t="s">
        <v>42</v>
      </c>
      <c r="F85" s="54" t="s">
        <v>46</v>
      </c>
      <c r="G85" s="61" t="s">
        <v>47</v>
      </c>
      <c r="H85" s="39"/>
      <c r="I85" s="19"/>
      <c r="J85" s="19" t="str">
        <f t="array" ref="J85">IF($I85="","",IFERROR(INDEX(Legend!$C$41:$C$45,MATCH($I85,Legend!$B$41:$B$45,0)),""))</f>
        <v/>
      </c>
      <c r="K85" s="19"/>
    </row>
    <row r="86" ht="15.75" customHeight="1">
      <c r="A86" s="18">
        <v>82.0</v>
      </c>
      <c r="B86" s="19" t="s">
        <v>158</v>
      </c>
      <c r="C86" s="19" t="s">
        <v>508</v>
      </c>
      <c r="D86" s="19" t="s">
        <v>544</v>
      </c>
      <c r="E86" s="53" t="s">
        <v>42</v>
      </c>
      <c r="F86" s="54" t="s">
        <v>46</v>
      </c>
      <c r="G86" s="61" t="s">
        <v>47</v>
      </c>
      <c r="H86" s="39" t="s">
        <v>546</v>
      </c>
      <c r="I86" s="19"/>
      <c r="J86" s="19" t="str">
        <f t="array" ref="J86">IF($I86="","",IFERROR(INDEX(Legend!$C$41:$C$45,MATCH($I86,Legend!$B$41:$B$45,0)),""))</f>
        <v/>
      </c>
      <c r="K86" s="19"/>
    </row>
    <row r="87" ht="15.75" customHeight="1">
      <c r="A87" s="18">
        <v>83.0</v>
      </c>
      <c r="B87" s="19" t="s">
        <v>158</v>
      </c>
      <c r="C87" s="19" t="s">
        <v>508</v>
      </c>
      <c r="D87" s="19" t="s">
        <v>549</v>
      </c>
      <c r="E87" s="53" t="s">
        <v>42</v>
      </c>
      <c r="F87" s="31" t="s">
        <v>34</v>
      </c>
      <c r="G87" s="46" t="s">
        <v>50</v>
      </c>
      <c r="H87" s="39" t="s">
        <v>551</v>
      </c>
      <c r="I87" s="19"/>
      <c r="J87" s="19" t="str">
        <f t="array" ref="J87">IF($I87="","",IFERROR(INDEX(Legend!$C$41:$C$45,MATCH($I87,Legend!$B$41:$B$45,0)),""))</f>
        <v/>
      </c>
      <c r="K87" s="19"/>
    </row>
    <row r="88" ht="15.75" customHeight="1">
      <c r="A88" s="18">
        <v>84.0</v>
      </c>
      <c r="B88" s="19" t="s">
        <v>158</v>
      </c>
      <c r="C88" s="19" t="s">
        <v>508</v>
      </c>
      <c r="D88" s="19" t="s">
        <v>555</v>
      </c>
      <c r="E88" s="53" t="s">
        <v>42</v>
      </c>
      <c r="F88" s="54" t="s">
        <v>46</v>
      </c>
      <c r="G88" s="61" t="s">
        <v>47</v>
      </c>
      <c r="H88" s="39"/>
      <c r="I88" s="19"/>
      <c r="J88" s="19" t="str">
        <f t="array" ref="J88">IF($I88="","",IFERROR(INDEX(Legend!$C$41:$C$45,MATCH($I88,Legend!$B$41:$B$45,0)),""))</f>
        <v/>
      </c>
      <c r="K88" s="19"/>
    </row>
    <row r="89" ht="15.75" customHeight="1">
      <c r="A89" s="18">
        <v>85.0</v>
      </c>
      <c r="B89" s="19" t="s">
        <v>158</v>
      </c>
      <c r="C89" s="19" t="s">
        <v>508</v>
      </c>
      <c r="D89" s="19" t="s">
        <v>560</v>
      </c>
      <c r="E89" s="53" t="s">
        <v>42</v>
      </c>
      <c r="F89" s="54" t="s">
        <v>46</v>
      </c>
      <c r="G89" s="61" t="s">
        <v>47</v>
      </c>
      <c r="H89" s="39"/>
      <c r="I89" s="19"/>
      <c r="J89" s="19" t="str">
        <f t="array" ref="J89">IF($I89="","",IFERROR(INDEX(Legend!$C$41:$C$45,MATCH($I89,Legend!$B$41:$B$45,0)),""))</f>
        <v/>
      </c>
      <c r="K89" s="19"/>
    </row>
    <row r="90" ht="15.75" customHeight="1">
      <c r="A90" s="18">
        <v>86.0</v>
      </c>
      <c r="B90" s="19" t="s">
        <v>158</v>
      </c>
      <c r="C90" s="19" t="s">
        <v>567</v>
      </c>
      <c r="D90" s="19" t="s">
        <v>568</v>
      </c>
      <c r="E90" s="20" t="s">
        <v>33</v>
      </c>
      <c r="F90" s="48" t="s">
        <v>77</v>
      </c>
      <c r="G90" s="37" t="s">
        <v>49</v>
      </c>
      <c r="H90" s="39" t="s">
        <v>569</v>
      </c>
      <c r="I90" s="19"/>
      <c r="J90" s="19" t="str">
        <f t="array" ref="J90">IF($I90="","",IFERROR(INDEX(Legend!$C$41:$C$45,MATCH($I90,Legend!$B$41:$B$45,0)),""))</f>
        <v/>
      </c>
      <c r="K90" s="19"/>
    </row>
    <row r="91" ht="15.75" customHeight="1">
      <c r="A91" s="18">
        <v>87.0</v>
      </c>
      <c r="B91" s="19" t="s">
        <v>158</v>
      </c>
      <c r="C91" s="19" t="s">
        <v>567</v>
      </c>
      <c r="D91" s="19" t="s">
        <v>574</v>
      </c>
      <c r="E91" s="53" t="s">
        <v>42</v>
      </c>
      <c r="F91" s="31" t="s">
        <v>34</v>
      </c>
      <c r="G91" s="37" t="s">
        <v>49</v>
      </c>
      <c r="H91" s="39"/>
      <c r="I91" s="19"/>
      <c r="J91" s="19" t="str">
        <f t="array" ref="J91">IF($I91="","",IFERROR(INDEX(Legend!$C$41:$C$45,MATCH($I91,Legend!$B$41:$B$45,0)),""))</f>
        <v/>
      </c>
      <c r="K91" s="19"/>
    </row>
    <row r="92" ht="15.75" customHeight="1">
      <c r="A92" s="18">
        <v>88.0</v>
      </c>
      <c r="B92" s="19" t="s">
        <v>158</v>
      </c>
      <c r="C92" s="19" t="s">
        <v>567</v>
      </c>
      <c r="D92" s="19" t="s">
        <v>577</v>
      </c>
      <c r="E92" s="53" t="s">
        <v>42</v>
      </c>
      <c r="F92" s="31" t="s">
        <v>34</v>
      </c>
      <c r="G92" s="46" t="s">
        <v>50</v>
      </c>
      <c r="H92" s="39"/>
      <c r="I92" s="19"/>
      <c r="J92" s="19" t="str">
        <f t="array" ref="J92">IF($I92="","",IFERROR(INDEX(Legend!$C$41:$C$45,MATCH($I92,Legend!$B$41:$B$45,0)),""))</f>
        <v/>
      </c>
      <c r="K92" s="19"/>
    </row>
    <row r="93" ht="15.75" customHeight="1">
      <c r="A93" s="18">
        <v>89.0</v>
      </c>
      <c r="B93" s="19" t="s">
        <v>158</v>
      </c>
      <c r="C93" s="19" t="s">
        <v>567</v>
      </c>
      <c r="D93" s="19" t="s">
        <v>578</v>
      </c>
      <c r="E93" s="53" t="s">
        <v>42</v>
      </c>
      <c r="F93" s="31" t="s">
        <v>34</v>
      </c>
      <c r="G93" s="46" t="s">
        <v>50</v>
      </c>
      <c r="H93" s="39"/>
      <c r="I93" s="19"/>
      <c r="J93" s="19" t="str">
        <f t="array" ref="J93">IF($I93="","",IFERROR(INDEX(Legend!$C$41:$C$45,MATCH($I93,Legend!$B$41:$B$45,0)),""))</f>
        <v/>
      </c>
      <c r="K93" s="19"/>
    </row>
    <row r="94" ht="15.75" customHeight="1">
      <c r="A94" s="18">
        <v>90.0</v>
      </c>
      <c r="B94" s="19" t="s">
        <v>158</v>
      </c>
      <c r="C94" s="19" t="s">
        <v>567</v>
      </c>
      <c r="D94" s="19" t="s">
        <v>581</v>
      </c>
      <c r="E94" s="20" t="s">
        <v>33</v>
      </c>
      <c r="F94" s="48" t="s">
        <v>77</v>
      </c>
      <c r="G94" s="37" t="s">
        <v>49</v>
      </c>
      <c r="H94" s="39" t="s">
        <v>582</v>
      </c>
      <c r="I94" s="19"/>
      <c r="J94" s="19" t="str">
        <f t="array" ref="J94">IF($I94="","",IFERROR(INDEX(Legend!$C$41:$C$45,MATCH($I94,Legend!$B$41:$B$45,0)),""))</f>
        <v/>
      </c>
      <c r="K94" s="19"/>
    </row>
    <row r="95" ht="15.75" customHeight="1">
      <c r="A95" s="18">
        <v>91.0</v>
      </c>
      <c r="B95" s="19" t="s">
        <v>158</v>
      </c>
      <c r="C95" s="19" t="s">
        <v>585</v>
      </c>
      <c r="D95" s="19" t="s">
        <v>586</v>
      </c>
      <c r="E95" s="53" t="s">
        <v>42</v>
      </c>
      <c r="F95" s="31" t="s">
        <v>34</v>
      </c>
      <c r="G95" s="37" t="s">
        <v>49</v>
      </c>
      <c r="H95" s="39" t="s">
        <v>587</v>
      </c>
      <c r="I95" s="19"/>
      <c r="J95" s="19" t="str">
        <f t="array" ref="J95">IF($I95="","",IFERROR(INDEX(Legend!$C$41:$C$45,MATCH($I95,Legend!$B$41:$B$45,0)),""))</f>
        <v/>
      </c>
      <c r="K95" s="19"/>
    </row>
    <row r="96" ht="15.75" customHeight="1">
      <c r="A96" s="18">
        <v>92.0</v>
      </c>
      <c r="B96" s="19" t="s">
        <v>158</v>
      </c>
      <c r="C96" s="19" t="s">
        <v>585</v>
      </c>
      <c r="D96" s="19" t="s">
        <v>588</v>
      </c>
      <c r="E96" s="53" t="s">
        <v>42</v>
      </c>
      <c r="F96" s="31" t="s">
        <v>34</v>
      </c>
      <c r="G96" s="37" t="s">
        <v>49</v>
      </c>
      <c r="H96" s="39"/>
      <c r="I96" s="19"/>
      <c r="J96" s="19" t="str">
        <f t="array" ref="J96">IF($I96="","",IFERROR(INDEX(Legend!$C$41:$C$45,MATCH($I96,Legend!$B$41:$B$45,0)),""))</f>
        <v/>
      </c>
      <c r="K96" s="19"/>
    </row>
    <row r="97" ht="15.75" customHeight="1">
      <c r="A97" s="18">
        <v>93.0</v>
      </c>
      <c r="B97" s="19" t="s">
        <v>158</v>
      </c>
      <c r="C97" s="19" t="s">
        <v>585</v>
      </c>
      <c r="D97" s="19" t="s">
        <v>590</v>
      </c>
      <c r="E97" s="53" t="s">
        <v>42</v>
      </c>
      <c r="F97" s="48" t="s">
        <v>77</v>
      </c>
      <c r="G97" s="37" t="s">
        <v>49</v>
      </c>
      <c r="H97" s="39" t="s">
        <v>591</v>
      </c>
      <c r="I97" s="19"/>
      <c r="J97" s="19" t="str">
        <f t="array" ref="J97">IF($I97="","",IFERROR(INDEX(Legend!$C$41:$C$45,MATCH($I97,Legend!$B$41:$B$45,0)),""))</f>
        <v/>
      </c>
      <c r="K97" s="19"/>
    </row>
    <row r="98" ht="15.75" customHeight="1">
      <c r="A98" s="18">
        <v>94.0</v>
      </c>
      <c r="B98" s="19" t="s">
        <v>158</v>
      </c>
      <c r="C98" s="19" t="s">
        <v>585</v>
      </c>
      <c r="D98" s="19" t="s">
        <v>592</v>
      </c>
      <c r="E98" s="53" t="s">
        <v>42</v>
      </c>
      <c r="F98" s="31" t="s">
        <v>34</v>
      </c>
      <c r="G98" s="46" t="s">
        <v>50</v>
      </c>
      <c r="H98" s="39"/>
      <c r="I98" s="19"/>
      <c r="J98" s="19" t="str">
        <f t="array" ref="J98">IF($I98="","",IFERROR(INDEX(Legend!$C$41:$C$45,MATCH($I98,Legend!$B$41:$B$45,0)),""))</f>
        <v/>
      </c>
      <c r="K98" s="19"/>
    </row>
    <row r="99" ht="15.75" customHeight="1">
      <c r="A99" s="18">
        <v>95.0</v>
      </c>
      <c r="B99" s="19" t="s">
        <v>158</v>
      </c>
      <c r="C99" s="19" t="s">
        <v>585</v>
      </c>
      <c r="D99" s="19" t="s">
        <v>594</v>
      </c>
      <c r="E99" s="53" t="s">
        <v>42</v>
      </c>
      <c r="F99" s="31" t="s">
        <v>34</v>
      </c>
      <c r="G99" s="37" t="s">
        <v>49</v>
      </c>
      <c r="H99" s="39"/>
      <c r="I99" s="19"/>
      <c r="J99" s="19" t="str">
        <f t="array" ref="J99">IF($I99="","",IFERROR(INDEX(Legend!$C$41:$C$45,MATCH($I99,Legend!$B$41:$B$45,0)),""))</f>
        <v/>
      </c>
      <c r="K99" s="19"/>
    </row>
    <row r="100" ht="15.75" customHeight="1">
      <c r="A100" s="18">
        <v>96.0</v>
      </c>
      <c r="B100" s="19" t="s">
        <v>158</v>
      </c>
      <c r="C100" s="19" t="s">
        <v>585</v>
      </c>
      <c r="D100" s="19" t="s">
        <v>595</v>
      </c>
      <c r="E100" s="53" t="s">
        <v>42</v>
      </c>
      <c r="F100" s="48" t="s">
        <v>77</v>
      </c>
      <c r="G100" s="46" t="s">
        <v>50</v>
      </c>
      <c r="H100" s="39" t="s">
        <v>596</v>
      </c>
      <c r="I100" s="19"/>
      <c r="J100" s="19" t="str">
        <f t="array" ref="J100">IF($I100="","",IFERROR(INDEX(Legend!$C$41:$C$45,MATCH($I100,Legend!$B$41:$B$45,0)),""))</f>
        <v/>
      </c>
      <c r="K100" s="19"/>
    </row>
    <row r="101" ht="15.75" customHeight="1">
      <c r="A101" s="18">
        <v>97.0</v>
      </c>
      <c r="B101" s="19" t="s">
        <v>158</v>
      </c>
      <c r="C101" s="19" t="s">
        <v>159</v>
      </c>
      <c r="D101" s="19" t="s">
        <v>598</v>
      </c>
      <c r="E101" s="53" t="s">
        <v>42</v>
      </c>
      <c r="F101" s="31" t="s">
        <v>34</v>
      </c>
      <c r="G101" s="61" t="s">
        <v>47</v>
      </c>
      <c r="H101" s="39" t="s">
        <v>599</v>
      </c>
      <c r="I101" s="19"/>
      <c r="J101" s="19" t="str">
        <f t="array" ref="J101">IF($I101="","",IFERROR(INDEX(Legend!$C$41:$C$45,MATCH($I101,Legend!$B$41:$B$45,0)),""))</f>
        <v/>
      </c>
      <c r="K101" s="19"/>
    </row>
    <row r="102" ht="15.75" customHeight="1">
      <c r="A102" s="18">
        <v>98.0</v>
      </c>
      <c r="B102" s="19" t="s">
        <v>158</v>
      </c>
      <c r="C102" s="19" t="s">
        <v>159</v>
      </c>
      <c r="D102" s="19" t="s">
        <v>600</v>
      </c>
      <c r="E102" s="53" t="s">
        <v>42</v>
      </c>
      <c r="F102" s="54" t="s">
        <v>46</v>
      </c>
      <c r="G102" s="46" t="s">
        <v>50</v>
      </c>
      <c r="H102" s="39" t="s">
        <v>602</v>
      </c>
      <c r="I102" s="19"/>
      <c r="J102" s="19" t="str">
        <f t="array" ref="J102">IF($I102="","",IFERROR(INDEX(Legend!$C$41:$C$45,MATCH($I102,Legend!$B$41:$B$45,0)),""))</f>
        <v/>
      </c>
      <c r="K102" s="19"/>
    </row>
    <row r="103" ht="15.75" customHeight="1">
      <c r="A103" s="18">
        <v>99.0</v>
      </c>
      <c r="B103" s="19" t="s">
        <v>158</v>
      </c>
      <c r="C103" s="19" t="s">
        <v>418</v>
      </c>
      <c r="D103" s="19" t="s">
        <v>603</v>
      </c>
      <c r="E103" s="53" t="s">
        <v>42</v>
      </c>
      <c r="F103" s="31" t="s">
        <v>34</v>
      </c>
      <c r="G103" s="46" t="s">
        <v>50</v>
      </c>
      <c r="H103" s="39" t="s">
        <v>604</v>
      </c>
      <c r="I103" s="19"/>
      <c r="J103" s="19" t="str">
        <f t="array" ref="J103">IF($I103="","",IFERROR(INDEX(Legend!$C$41:$C$45,MATCH($I103,Legend!$B$41:$B$45,0)),""))</f>
        <v/>
      </c>
      <c r="K103" s="19"/>
    </row>
    <row r="104" ht="15.75" customHeight="1">
      <c r="A104" s="18">
        <v>100.0</v>
      </c>
      <c r="B104" s="19" t="s">
        <v>158</v>
      </c>
      <c r="C104" s="19" t="s">
        <v>418</v>
      </c>
      <c r="D104" s="19" t="s">
        <v>606</v>
      </c>
      <c r="E104" s="53" t="s">
        <v>42</v>
      </c>
      <c r="F104" s="48" t="s">
        <v>77</v>
      </c>
      <c r="G104" s="46" t="s">
        <v>50</v>
      </c>
      <c r="H104" s="39" t="s">
        <v>607</v>
      </c>
      <c r="I104" s="19"/>
      <c r="J104" s="19" t="str">
        <f t="array" ref="J104">IF($I104="","",IFERROR(INDEX(Legend!$C$41:$C$45,MATCH($I104,Legend!$B$41:$B$45,0)),""))</f>
        <v/>
      </c>
      <c r="K104" s="19"/>
    </row>
    <row r="105" ht="15.75" customHeight="1">
      <c r="A105" s="18">
        <v>101.0</v>
      </c>
      <c r="B105" s="19" t="s">
        <v>158</v>
      </c>
      <c r="C105" s="19" t="s">
        <v>418</v>
      </c>
      <c r="D105" s="19" t="s">
        <v>608</v>
      </c>
      <c r="E105" s="53" t="s">
        <v>42</v>
      </c>
      <c r="F105" s="48" t="s">
        <v>77</v>
      </c>
      <c r="G105" s="37" t="s">
        <v>49</v>
      </c>
      <c r="H105" s="39" t="s">
        <v>609</v>
      </c>
      <c r="I105" s="19"/>
      <c r="J105" s="19" t="str">
        <f t="array" ref="J105">IF($I105="","",IFERROR(INDEX(Legend!$C$41:$C$45,MATCH($I105,Legend!$B$41:$B$45,0)),""))</f>
        <v/>
      </c>
      <c r="K105" s="19"/>
    </row>
    <row r="106" ht="15.75" customHeight="1">
      <c r="A106" s="18">
        <v>102.0</v>
      </c>
      <c r="B106" s="19" t="s">
        <v>158</v>
      </c>
      <c r="C106" s="19" t="s">
        <v>418</v>
      </c>
      <c r="D106" s="19" t="s">
        <v>611</v>
      </c>
      <c r="E106" s="53" t="s">
        <v>42</v>
      </c>
      <c r="F106" s="31" t="s">
        <v>34</v>
      </c>
      <c r="G106" s="46" t="s">
        <v>50</v>
      </c>
      <c r="H106" s="39" t="s">
        <v>612</v>
      </c>
      <c r="I106" s="19"/>
      <c r="J106" s="19" t="str">
        <f t="array" ref="J106">IF($I106="","",IFERROR(INDEX(Legend!$C$41:$C$45,MATCH($I106,Legend!$B$41:$B$45,0)),""))</f>
        <v/>
      </c>
      <c r="K106" s="19"/>
    </row>
    <row r="107" ht="15.75" customHeight="1">
      <c r="A107" s="18">
        <v>103.0</v>
      </c>
      <c r="B107" s="19" t="s">
        <v>158</v>
      </c>
      <c r="C107" s="19" t="s">
        <v>316</v>
      </c>
      <c r="D107" s="19" t="s">
        <v>614</v>
      </c>
      <c r="E107" s="53" t="s">
        <v>42</v>
      </c>
      <c r="F107" s="54" t="s">
        <v>46</v>
      </c>
      <c r="G107" s="61" t="s">
        <v>47</v>
      </c>
      <c r="H107" s="39" t="s">
        <v>615</v>
      </c>
      <c r="I107" s="19"/>
      <c r="J107" s="19" t="str">
        <f t="array" ref="J107">IF($I107="","",IFERROR(INDEX(Legend!$C$41:$C$45,MATCH($I107,Legend!$B$41:$B$45,0)),""))</f>
        <v/>
      </c>
      <c r="K107" s="19"/>
    </row>
    <row r="108" ht="15.75" customHeight="1">
      <c r="A108" s="18">
        <v>104.0</v>
      </c>
      <c r="B108" s="19" t="s">
        <v>158</v>
      </c>
      <c r="C108" s="19" t="s">
        <v>159</v>
      </c>
      <c r="D108" s="19" t="s">
        <v>618</v>
      </c>
      <c r="E108" s="53" t="s">
        <v>42</v>
      </c>
      <c r="F108" s="48" t="s">
        <v>77</v>
      </c>
      <c r="G108" s="46" t="s">
        <v>50</v>
      </c>
      <c r="H108" s="39" t="s">
        <v>619</v>
      </c>
      <c r="I108" s="19"/>
      <c r="J108" s="19" t="str">
        <f t="array" ref="J108">IF($I108="","",IFERROR(INDEX(Legend!$C$41:$C$45,MATCH($I108,Legend!$B$41:$B$45,0)),""))</f>
        <v/>
      </c>
      <c r="K108" s="19"/>
    </row>
    <row r="109" ht="15.75" customHeight="1">
      <c r="A109" s="18">
        <v>105.0</v>
      </c>
      <c r="B109" s="19" t="s">
        <v>620</v>
      </c>
      <c r="C109" s="19" t="s">
        <v>621</v>
      </c>
      <c r="D109" s="19" t="s">
        <v>622</v>
      </c>
      <c r="E109" s="20" t="s">
        <v>33</v>
      </c>
      <c r="F109" s="31" t="s">
        <v>34</v>
      </c>
      <c r="G109" s="37" t="s">
        <v>49</v>
      </c>
      <c r="H109" s="39"/>
      <c r="I109" s="19"/>
      <c r="J109" s="19" t="str">
        <f t="array" ref="J109">IF($I109="","",IFERROR(INDEX(Legend!$C$41:$C$45,MATCH($I109,Legend!$B$41:$B$45,0)),""))</f>
        <v/>
      </c>
      <c r="K109" s="19"/>
    </row>
    <row r="110" ht="15.75" customHeight="1">
      <c r="A110" s="18">
        <v>106.0</v>
      </c>
      <c r="B110" s="19" t="s">
        <v>620</v>
      </c>
      <c r="C110" s="19" t="s">
        <v>621</v>
      </c>
      <c r="D110" s="19" t="s">
        <v>624</v>
      </c>
      <c r="E110" s="20" t="s">
        <v>33</v>
      </c>
      <c r="F110" s="48" t="s">
        <v>77</v>
      </c>
      <c r="G110" s="37" t="s">
        <v>49</v>
      </c>
      <c r="H110" s="39"/>
      <c r="I110" s="19"/>
      <c r="J110" s="19" t="str">
        <f t="array" ref="J110">IF($I110="","",IFERROR(INDEX(Legend!$C$41:$C$45,MATCH($I110,Legend!$B$41:$B$45,0)),""))</f>
        <v/>
      </c>
      <c r="K110" s="19"/>
    </row>
    <row r="111" ht="15.75" customHeight="1">
      <c r="A111" s="18">
        <v>107.0</v>
      </c>
      <c r="B111" s="19" t="s">
        <v>620</v>
      </c>
      <c r="C111" s="19" t="s">
        <v>621</v>
      </c>
      <c r="D111" s="19" t="s">
        <v>625</v>
      </c>
      <c r="E111" s="53" t="s">
        <v>42</v>
      </c>
      <c r="F111" s="48" t="s">
        <v>77</v>
      </c>
      <c r="G111" s="46" t="s">
        <v>50</v>
      </c>
      <c r="H111" s="39" t="s">
        <v>626</v>
      </c>
      <c r="I111" s="19"/>
      <c r="J111" s="19" t="str">
        <f t="array" ref="J111">IF($I111="","",IFERROR(INDEX(Legend!$C$41:$C$45,MATCH($I111,Legend!$B$41:$B$45,0)),""))</f>
        <v/>
      </c>
      <c r="K111" s="19"/>
    </row>
    <row r="112" ht="15.75" customHeight="1">
      <c r="A112" s="18">
        <v>108.0</v>
      </c>
      <c r="B112" s="19" t="s">
        <v>620</v>
      </c>
      <c r="C112" s="19" t="s">
        <v>621</v>
      </c>
      <c r="D112" s="19" t="s">
        <v>629</v>
      </c>
      <c r="E112" s="20" t="s">
        <v>33</v>
      </c>
      <c r="F112" s="48" t="s">
        <v>77</v>
      </c>
      <c r="G112" s="37" t="s">
        <v>49</v>
      </c>
      <c r="H112" s="39" t="s">
        <v>631</v>
      </c>
      <c r="I112" s="19"/>
      <c r="J112" s="19" t="str">
        <f t="array" ref="J112">IF($I112="","",IFERROR(INDEX(Legend!$C$41:$C$45,MATCH($I112,Legend!$B$41:$B$45,0)),""))</f>
        <v/>
      </c>
      <c r="K112" s="19"/>
    </row>
    <row r="113" ht="15.75" customHeight="1">
      <c r="A113" s="18">
        <v>109.0</v>
      </c>
      <c r="B113" s="19" t="s">
        <v>620</v>
      </c>
      <c r="C113" s="19" t="s">
        <v>621</v>
      </c>
      <c r="D113" s="19" t="s">
        <v>637</v>
      </c>
      <c r="E113" s="20" t="s">
        <v>33</v>
      </c>
      <c r="F113" s="54" t="s">
        <v>46</v>
      </c>
      <c r="G113" s="61" t="s">
        <v>47</v>
      </c>
      <c r="H113" s="39"/>
      <c r="I113" s="19"/>
      <c r="J113" s="19" t="str">
        <f t="array" ref="J113">IF($I113="","",IFERROR(INDEX(Legend!$C$41:$C$45,MATCH($I113,Legend!$B$41:$B$45,0)),""))</f>
        <v/>
      </c>
      <c r="K113" s="19"/>
    </row>
    <row r="114" ht="15.75" customHeight="1">
      <c r="A114" s="18">
        <v>110.0</v>
      </c>
      <c r="B114" s="19" t="s">
        <v>620</v>
      </c>
      <c r="C114" s="19" t="s">
        <v>621</v>
      </c>
      <c r="D114" s="19" t="s">
        <v>642</v>
      </c>
      <c r="E114" s="53" t="s">
        <v>42</v>
      </c>
      <c r="F114" s="31" t="s">
        <v>34</v>
      </c>
      <c r="G114" s="46" t="s">
        <v>50</v>
      </c>
      <c r="H114" s="39"/>
      <c r="I114" s="19"/>
      <c r="J114" s="19" t="str">
        <f t="array" ref="J114">IF($I114="","",IFERROR(INDEX(Legend!$C$41:$C$45,MATCH($I114,Legend!$B$41:$B$45,0)),""))</f>
        <v/>
      </c>
      <c r="K114" s="19"/>
    </row>
    <row r="115" ht="15.75" customHeight="1">
      <c r="A115" s="18">
        <v>111.0</v>
      </c>
      <c r="B115" s="19" t="s">
        <v>620</v>
      </c>
      <c r="C115" s="19" t="s">
        <v>621</v>
      </c>
      <c r="D115" s="19" t="s">
        <v>659</v>
      </c>
      <c r="E115" s="53" t="s">
        <v>42</v>
      </c>
      <c r="F115" s="31" t="s">
        <v>34</v>
      </c>
      <c r="G115" s="46" t="s">
        <v>50</v>
      </c>
      <c r="H115" s="39" t="s">
        <v>662</v>
      </c>
      <c r="I115" s="19"/>
      <c r="J115" s="19" t="str">
        <f t="array" ref="J115">IF($I115="","",IFERROR(INDEX(Legend!$C$41:$C$45,MATCH($I115,Legend!$B$41:$B$45,0)),""))</f>
        <v/>
      </c>
      <c r="K115" s="19"/>
    </row>
    <row r="116" ht="15.75" customHeight="1">
      <c r="A116" s="18">
        <v>112.0</v>
      </c>
      <c r="B116" s="19" t="s">
        <v>620</v>
      </c>
      <c r="C116" s="19" t="s">
        <v>684</v>
      </c>
      <c r="D116" s="19" t="s">
        <v>685</v>
      </c>
      <c r="E116" s="20" t="s">
        <v>33</v>
      </c>
      <c r="F116" s="31" t="s">
        <v>34</v>
      </c>
      <c r="G116" s="37" t="s">
        <v>49</v>
      </c>
      <c r="H116" s="39"/>
      <c r="I116" s="19"/>
      <c r="J116" s="19" t="str">
        <f t="array" ref="J116">IF($I116="","",IFERROR(INDEX(Legend!$C$41:$C$45,MATCH($I116,Legend!$B$41:$B$45,0)),""))</f>
        <v/>
      </c>
      <c r="K116" s="19"/>
    </row>
    <row r="117" ht="15.75" customHeight="1">
      <c r="A117" s="18">
        <v>113.0</v>
      </c>
      <c r="B117" s="19" t="s">
        <v>620</v>
      </c>
      <c r="C117" s="19" t="s">
        <v>684</v>
      </c>
      <c r="D117" s="19" t="s">
        <v>707</v>
      </c>
      <c r="E117" s="20" t="s">
        <v>33</v>
      </c>
      <c r="F117" s="31" t="s">
        <v>34</v>
      </c>
      <c r="G117" s="37" t="s">
        <v>49</v>
      </c>
      <c r="H117" s="39"/>
      <c r="I117" s="19"/>
      <c r="J117" s="19" t="str">
        <f t="array" ref="J117">IF($I117="","",IFERROR(INDEX(Legend!$C$41:$C$45,MATCH($I117,Legend!$B$41:$B$45,0)),""))</f>
        <v/>
      </c>
      <c r="K117" s="19"/>
    </row>
    <row r="118" ht="15.75" customHeight="1">
      <c r="A118" s="18">
        <v>114.0</v>
      </c>
      <c r="B118" s="19" t="s">
        <v>620</v>
      </c>
      <c r="C118" s="19" t="s">
        <v>684</v>
      </c>
      <c r="D118" s="19" t="s">
        <v>731</v>
      </c>
      <c r="E118" s="20" t="s">
        <v>33</v>
      </c>
      <c r="F118" s="48" t="s">
        <v>77</v>
      </c>
      <c r="G118" s="37" t="s">
        <v>49</v>
      </c>
      <c r="H118" s="39"/>
      <c r="I118" s="19"/>
      <c r="J118" s="19" t="str">
        <f t="array" ref="J118">IF($I118="","",IFERROR(INDEX(Legend!$C$41:$C$45,MATCH($I118,Legend!$B$41:$B$45,0)),""))</f>
        <v/>
      </c>
      <c r="K118" s="19"/>
    </row>
    <row r="119" ht="15.75" customHeight="1">
      <c r="A119" s="18">
        <v>115.0</v>
      </c>
      <c r="B119" s="19" t="s">
        <v>620</v>
      </c>
      <c r="C119" s="19" t="s">
        <v>684</v>
      </c>
      <c r="D119" s="19" t="s">
        <v>750</v>
      </c>
      <c r="E119" s="20" t="s">
        <v>33</v>
      </c>
      <c r="F119" s="48" t="s">
        <v>77</v>
      </c>
      <c r="G119" s="37" t="s">
        <v>49</v>
      </c>
      <c r="H119" s="39" t="s">
        <v>754</v>
      </c>
      <c r="I119" s="19"/>
      <c r="J119" s="19" t="str">
        <f t="array" ref="J119">IF($I119="","",IFERROR(INDEX(Legend!$C$41:$C$45,MATCH($I119,Legend!$B$41:$B$45,0)),""))</f>
        <v/>
      </c>
      <c r="K119" s="19"/>
    </row>
    <row r="120" ht="15.75" customHeight="1">
      <c r="A120" s="18">
        <v>116.0</v>
      </c>
      <c r="B120" s="19" t="s">
        <v>620</v>
      </c>
      <c r="C120" s="19" t="s">
        <v>684</v>
      </c>
      <c r="D120" s="19" t="s">
        <v>782</v>
      </c>
      <c r="E120" s="53" t="s">
        <v>42</v>
      </c>
      <c r="F120" s="31" t="s">
        <v>34</v>
      </c>
      <c r="G120" s="37" t="s">
        <v>49</v>
      </c>
      <c r="H120" s="39" t="s">
        <v>783</v>
      </c>
      <c r="I120" s="19"/>
      <c r="J120" s="19" t="str">
        <f t="array" ref="J120">IF($I120="","",IFERROR(INDEX(Legend!$C$41:$C$45,MATCH($I120,Legend!$B$41:$B$45,0)),""))</f>
        <v/>
      </c>
      <c r="K120" s="19"/>
    </row>
    <row r="121" ht="15.75" customHeight="1">
      <c r="A121" s="18">
        <v>117.0</v>
      </c>
      <c r="B121" s="19" t="s">
        <v>620</v>
      </c>
      <c r="C121" s="19" t="s">
        <v>684</v>
      </c>
      <c r="D121" s="19" t="s">
        <v>785</v>
      </c>
      <c r="E121" s="20" t="s">
        <v>33</v>
      </c>
      <c r="F121" s="31" t="s">
        <v>34</v>
      </c>
      <c r="G121" s="37" t="s">
        <v>49</v>
      </c>
      <c r="H121" s="39"/>
      <c r="I121" s="19"/>
      <c r="J121" s="19" t="str">
        <f t="array" ref="J121">IF($I121="","",IFERROR(INDEX(Legend!$C$41:$C$45,MATCH($I121,Legend!$B$41:$B$45,0)),""))</f>
        <v/>
      </c>
      <c r="K121" s="19"/>
    </row>
    <row r="122" ht="15.75" customHeight="1">
      <c r="A122" s="18">
        <v>118.0</v>
      </c>
      <c r="B122" s="19" t="s">
        <v>620</v>
      </c>
      <c r="C122" s="19" t="s">
        <v>684</v>
      </c>
      <c r="D122" s="19" t="s">
        <v>786</v>
      </c>
      <c r="E122" s="20" t="s">
        <v>33</v>
      </c>
      <c r="F122" s="48" t="s">
        <v>77</v>
      </c>
      <c r="G122" s="37" t="s">
        <v>49</v>
      </c>
      <c r="H122" s="39" t="s">
        <v>787</v>
      </c>
      <c r="I122" s="19"/>
      <c r="J122" s="19" t="str">
        <f t="array" ref="J122">IF($I122="","",IFERROR(INDEX(Legend!$C$41:$C$45,MATCH($I122,Legend!$B$41:$B$45,0)),""))</f>
        <v/>
      </c>
      <c r="K122" s="19"/>
    </row>
    <row r="123" ht="15.75" customHeight="1">
      <c r="A123" s="18">
        <v>119.0</v>
      </c>
      <c r="B123" s="19" t="s">
        <v>620</v>
      </c>
      <c r="C123" s="19" t="s">
        <v>684</v>
      </c>
      <c r="D123" s="19" t="s">
        <v>790</v>
      </c>
      <c r="E123" s="53" t="s">
        <v>42</v>
      </c>
      <c r="F123" s="48" t="s">
        <v>77</v>
      </c>
      <c r="G123" s="37" t="s">
        <v>49</v>
      </c>
      <c r="H123" s="39" t="s">
        <v>791</v>
      </c>
      <c r="I123" s="19"/>
      <c r="J123" s="19" t="str">
        <f t="array" ref="J123">IF($I123="","",IFERROR(INDEX(Legend!$C$41:$C$45,MATCH($I123,Legend!$B$41:$B$45,0)),""))</f>
        <v/>
      </c>
      <c r="K123" s="19"/>
    </row>
    <row r="124" ht="15.75" customHeight="1">
      <c r="A124" s="18">
        <v>120.0</v>
      </c>
      <c r="B124" s="19" t="s">
        <v>620</v>
      </c>
      <c r="C124" s="19" t="s">
        <v>684</v>
      </c>
      <c r="D124" s="19" t="s">
        <v>793</v>
      </c>
      <c r="E124" s="53" t="s">
        <v>42</v>
      </c>
      <c r="F124" s="31" t="s">
        <v>34</v>
      </c>
      <c r="G124" s="37" t="s">
        <v>49</v>
      </c>
      <c r="H124" s="39" t="s">
        <v>794</v>
      </c>
      <c r="I124" s="19"/>
      <c r="J124" s="19" t="str">
        <f t="array" ref="J124">IF($I124="","",IFERROR(INDEX(Legend!$C$41:$C$45,MATCH($I124,Legend!$B$41:$B$45,0)),""))</f>
        <v/>
      </c>
      <c r="K124" s="19"/>
    </row>
    <row r="125" ht="15.75" customHeight="1">
      <c r="A125" s="18">
        <v>121.0</v>
      </c>
      <c r="B125" s="19" t="s">
        <v>620</v>
      </c>
      <c r="C125" s="19" t="s">
        <v>684</v>
      </c>
      <c r="D125" s="19" t="s">
        <v>795</v>
      </c>
      <c r="E125" s="53" t="s">
        <v>42</v>
      </c>
      <c r="F125" s="48" t="s">
        <v>77</v>
      </c>
      <c r="G125" s="37" t="s">
        <v>49</v>
      </c>
      <c r="H125" s="39" t="s">
        <v>796</v>
      </c>
      <c r="I125" s="19"/>
      <c r="J125" s="19" t="str">
        <f t="array" ref="J125">IF($I125="","",IFERROR(INDEX(Legend!$C$41:$C$45,MATCH($I125,Legend!$B$41:$B$45,0)),""))</f>
        <v/>
      </c>
      <c r="K125" s="19"/>
    </row>
    <row r="126" ht="15.75" customHeight="1">
      <c r="A126" s="18">
        <v>122.0</v>
      </c>
      <c r="B126" s="19" t="s">
        <v>620</v>
      </c>
      <c r="C126" s="19" t="s">
        <v>684</v>
      </c>
      <c r="D126" s="19" t="s">
        <v>798</v>
      </c>
      <c r="E126" s="53" t="s">
        <v>42</v>
      </c>
      <c r="F126" s="31" t="s">
        <v>34</v>
      </c>
      <c r="G126" s="46" t="s">
        <v>50</v>
      </c>
      <c r="H126" s="39" t="s">
        <v>799</v>
      </c>
      <c r="I126" s="19"/>
      <c r="J126" s="19" t="str">
        <f t="array" ref="J126">IF($I126="","",IFERROR(INDEX(Legend!$C$41:$C$45,MATCH($I126,Legend!$B$41:$B$45,0)),""))</f>
        <v/>
      </c>
      <c r="K126" s="19"/>
    </row>
    <row r="127" ht="15.75" customHeight="1">
      <c r="A127" s="18">
        <v>123.0</v>
      </c>
      <c r="B127" s="19" t="s">
        <v>620</v>
      </c>
      <c r="C127" s="19" t="s">
        <v>684</v>
      </c>
      <c r="D127" s="19" t="s">
        <v>800</v>
      </c>
      <c r="E127" s="53" t="s">
        <v>42</v>
      </c>
      <c r="F127" s="31" t="s">
        <v>34</v>
      </c>
      <c r="G127" s="46" t="s">
        <v>50</v>
      </c>
      <c r="H127" s="39"/>
      <c r="I127" s="19"/>
      <c r="J127" s="19" t="str">
        <f t="array" ref="J127">IF($I127="","",IFERROR(INDEX(Legend!$C$41:$C$45,MATCH($I127,Legend!$B$41:$B$45,0)),""))</f>
        <v/>
      </c>
      <c r="K127" s="19"/>
    </row>
    <row r="128" ht="15.75" customHeight="1">
      <c r="A128" s="18">
        <v>124.0</v>
      </c>
      <c r="B128" s="19" t="s">
        <v>620</v>
      </c>
      <c r="C128" s="19" t="s">
        <v>684</v>
      </c>
      <c r="D128" s="19" t="s">
        <v>802</v>
      </c>
      <c r="E128" s="20" t="s">
        <v>33</v>
      </c>
      <c r="F128" s="48" t="s">
        <v>77</v>
      </c>
      <c r="G128" s="37" t="s">
        <v>49</v>
      </c>
      <c r="H128" s="39" t="s">
        <v>803</v>
      </c>
      <c r="I128" s="19"/>
      <c r="J128" s="19" t="str">
        <f t="array" ref="J128">IF($I128="","",IFERROR(INDEX(Legend!$C$41:$C$45,MATCH($I128,Legend!$B$41:$B$45,0)),""))</f>
        <v/>
      </c>
      <c r="K128" s="19"/>
    </row>
    <row r="129" ht="15.75" customHeight="1">
      <c r="A129" s="18">
        <v>125.0</v>
      </c>
      <c r="B129" s="19" t="s">
        <v>620</v>
      </c>
      <c r="C129" s="19" t="s">
        <v>684</v>
      </c>
      <c r="D129" s="19" t="s">
        <v>804</v>
      </c>
      <c r="E129" s="53" t="s">
        <v>42</v>
      </c>
      <c r="F129" s="31" t="s">
        <v>34</v>
      </c>
      <c r="G129" s="46" t="s">
        <v>50</v>
      </c>
      <c r="H129" s="39"/>
      <c r="I129" s="19"/>
      <c r="J129" s="19" t="str">
        <f t="array" ref="J129">IF($I129="","",IFERROR(INDEX(Legend!$C$41:$C$45,MATCH($I129,Legend!$B$41:$B$45,0)),""))</f>
        <v/>
      </c>
      <c r="K129" s="19"/>
    </row>
    <row r="130" ht="15.75" customHeight="1">
      <c r="A130" s="18">
        <v>126.0</v>
      </c>
      <c r="B130" s="19" t="s">
        <v>620</v>
      </c>
      <c r="C130" s="19" t="s">
        <v>684</v>
      </c>
      <c r="D130" s="19" t="s">
        <v>806</v>
      </c>
      <c r="E130" s="53" t="s">
        <v>42</v>
      </c>
      <c r="F130" s="48" t="s">
        <v>77</v>
      </c>
      <c r="G130" s="37" t="s">
        <v>49</v>
      </c>
      <c r="H130" s="39" t="s">
        <v>807</v>
      </c>
      <c r="I130" s="19"/>
      <c r="J130" s="19" t="str">
        <f t="array" ref="J130">IF($I130="","",IFERROR(INDEX(Legend!$C$41:$C$45,MATCH($I130,Legend!$B$41:$B$45,0)),""))</f>
        <v/>
      </c>
      <c r="K130" s="19"/>
    </row>
    <row r="131" ht="15.75" customHeight="1">
      <c r="A131" s="18">
        <v>127.0</v>
      </c>
      <c r="B131" s="19" t="s">
        <v>620</v>
      </c>
      <c r="C131" s="19" t="s">
        <v>808</v>
      </c>
      <c r="D131" s="19" t="s">
        <v>809</v>
      </c>
      <c r="E131" s="53" t="s">
        <v>42</v>
      </c>
      <c r="F131" s="31" t="s">
        <v>34</v>
      </c>
      <c r="G131" s="37" t="s">
        <v>49</v>
      </c>
      <c r="H131" s="39" t="s">
        <v>810</v>
      </c>
      <c r="I131" s="19"/>
      <c r="J131" s="19" t="str">
        <f t="array" ref="J131">IF($I131="","",IFERROR(INDEX(Legend!$C$41:$C$45,MATCH($I131,Legend!$B$41:$B$45,0)),""))</f>
        <v/>
      </c>
      <c r="K131" s="19"/>
    </row>
    <row r="132" ht="15.75" customHeight="1">
      <c r="A132" s="18">
        <v>128.0</v>
      </c>
      <c r="B132" s="19" t="s">
        <v>620</v>
      </c>
      <c r="C132" s="19" t="s">
        <v>808</v>
      </c>
      <c r="D132" s="19" t="s">
        <v>815</v>
      </c>
      <c r="E132" s="53" t="s">
        <v>42</v>
      </c>
      <c r="F132" s="31" t="s">
        <v>34</v>
      </c>
      <c r="G132" s="37" t="s">
        <v>49</v>
      </c>
      <c r="H132" s="39" t="s">
        <v>816</v>
      </c>
      <c r="I132" s="19"/>
      <c r="J132" s="19" t="str">
        <f t="array" ref="J132">IF($I132="","",IFERROR(INDEX(Legend!$C$41:$C$45,MATCH($I132,Legend!$B$41:$B$45,0)),""))</f>
        <v/>
      </c>
      <c r="K132" s="19"/>
    </row>
    <row r="133" ht="15.75" customHeight="1">
      <c r="A133" s="18">
        <v>129.0</v>
      </c>
      <c r="B133" s="19" t="s">
        <v>620</v>
      </c>
      <c r="C133" s="19" t="s">
        <v>808</v>
      </c>
      <c r="D133" s="19" t="s">
        <v>817</v>
      </c>
      <c r="E133" s="20" t="s">
        <v>33</v>
      </c>
      <c r="F133" s="48" t="s">
        <v>77</v>
      </c>
      <c r="G133" s="37" t="s">
        <v>49</v>
      </c>
      <c r="H133" s="39"/>
      <c r="I133" s="19"/>
      <c r="J133" s="19" t="str">
        <f t="array" ref="J133">IF($I133="","",IFERROR(INDEX(Legend!$C$41:$C$45,MATCH($I133,Legend!$B$41:$B$45,0)),""))</f>
        <v/>
      </c>
      <c r="K133" s="19"/>
    </row>
    <row r="134" ht="15.75" customHeight="1">
      <c r="A134" s="18">
        <v>130.0</v>
      </c>
      <c r="B134" s="19" t="s">
        <v>620</v>
      </c>
      <c r="C134" s="19" t="s">
        <v>808</v>
      </c>
      <c r="D134" s="19" t="s">
        <v>820</v>
      </c>
      <c r="E134" s="53" t="s">
        <v>42</v>
      </c>
      <c r="F134" s="31" t="s">
        <v>34</v>
      </c>
      <c r="G134" s="37" t="s">
        <v>49</v>
      </c>
      <c r="H134" s="39"/>
      <c r="I134" s="19"/>
      <c r="J134" s="19" t="str">
        <f t="array" ref="J134">IF($I134="","",IFERROR(INDEX(Legend!$C$41:$C$45,MATCH($I134,Legend!$B$41:$B$45,0)),""))</f>
        <v/>
      </c>
      <c r="K134" s="19"/>
    </row>
    <row r="135" ht="15.75" customHeight="1">
      <c r="A135" s="18">
        <v>131.0</v>
      </c>
      <c r="B135" s="19" t="s">
        <v>620</v>
      </c>
      <c r="C135" s="19" t="s">
        <v>808</v>
      </c>
      <c r="D135" s="19" t="s">
        <v>821</v>
      </c>
      <c r="E135" s="53" t="s">
        <v>42</v>
      </c>
      <c r="F135" s="48" t="s">
        <v>77</v>
      </c>
      <c r="G135" s="37" t="s">
        <v>49</v>
      </c>
      <c r="H135" s="39" t="s">
        <v>822</v>
      </c>
      <c r="I135" s="19"/>
      <c r="J135" s="19" t="str">
        <f t="array" ref="J135">IF($I135="","",IFERROR(INDEX(Legend!$C$41:$C$45,MATCH($I135,Legend!$B$41:$B$45,0)),""))</f>
        <v/>
      </c>
      <c r="K135" s="19"/>
    </row>
    <row r="136" ht="15.75" customHeight="1">
      <c r="A136" s="18">
        <v>132.0</v>
      </c>
      <c r="B136" s="19" t="s">
        <v>620</v>
      </c>
      <c r="C136" s="19" t="s">
        <v>808</v>
      </c>
      <c r="D136" s="19" t="s">
        <v>825</v>
      </c>
      <c r="E136" s="53" t="s">
        <v>42</v>
      </c>
      <c r="F136" s="31" t="s">
        <v>34</v>
      </c>
      <c r="G136" s="46" t="s">
        <v>50</v>
      </c>
      <c r="H136" s="39"/>
      <c r="I136" s="19"/>
      <c r="J136" s="19" t="str">
        <f t="array" ref="J136">IF($I136="","",IFERROR(INDEX(Legend!$C$41:$C$45,MATCH($I136,Legend!$B$41:$B$45,0)),""))</f>
        <v/>
      </c>
      <c r="K136" s="19"/>
    </row>
    <row r="137" ht="15.75" customHeight="1">
      <c r="A137" s="18">
        <v>133.0</v>
      </c>
      <c r="B137" s="19" t="s">
        <v>620</v>
      </c>
      <c r="C137" s="19" t="s">
        <v>808</v>
      </c>
      <c r="D137" s="19" t="s">
        <v>826</v>
      </c>
      <c r="E137" s="53" t="s">
        <v>42</v>
      </c>
      <c r="F137" s="31" t="s">
        <v>34</v>
      </c>
      <c r="G137" s="46" t="s">
        <v>50</v>
      </c>
      <c r="H137" s="39" t="s">
        <v>827</v>
      </c>
      <c r="I137" s="19"/>
      <c r="J137" s="19" t="str">
        <f t="array" ref="J137">IF($I137="","",IFERROR(INDEX(Legend!$C$41:$C$45,MATCH($I137,Legend!$B$41:$B$45,0)),""))</f>
        <v/>
      </c>
      <c r="K137" s="19"/>
    </row>
    <row r="138" ht="15.75" customHeight="1">
      <c r="A138" s="18">
        <v>134.0</v>
      </c>
      <c r="B138" s="19" t="s">
        <v>620</v>
      </c>
      <c r="C138" s="19" t="s">
        <v>808</v>
      </c>
      <c r="D138" s="19" t="s">
        <v>830</v>
      </c>
      <c r="E138" s="53" t="s">
        <v>42</v>
      </c>
      <c r="F138" s="31" t="s">
        <v>34</v>
      </c>
      <c r="G138" s="46" t="s">
        <v>50</v>
      </c>
      <c r="H138" s="39" t="s">
        <v>831</v>
      </c>
      <c r="I138" s="19"/>
      <c r="J138" s="19" t="str">
        <f t="array" ref="J138">IF($I138="","",IFERROR(INDEX(Legend!$C$41:$C$45,MATCH($I138,Legend!$B$41:$B$45,0)),""))</f>
        <v/>
      </c>
      <c r="K138" s="19"/>
    </row>
    <row r="139" ht="15.75" customHeight="1">
      <c r="A139" s="18">
        <v>135.0</v>
      </c>
      <c r="B139" s="19" t="s">
        <v>620</v>
      </c>
      <c r="C139" s="19" t="s">
        <v>808</v>
      </c>
      <c r="D139" s="19" t="s">
        <v>832</v>
      </c>
      <c r="E139" s="53" t="s">
        <v>42</v>
      </c>
      <c r="F139" s="48" t="s">
        <v>77</v>
      </c>
      <c r="G139" s="37" t="s">
        <v>49</v>
      </c>
      <c r="H139" s="39" t="s">
        <v>833</v>
      </c>
      <c r="I139" s="19"/>
      <c r="J139" s="19" t="str">
        <f t="array" ref="J139">IF($I139="","",IFERROR(INDEX(Legend!$C$41:$C$45,MATCH($I139,Legend!$B$41:$B$45,0)),""))</f>
        <v/>
      </c>
      <c r="K139" s="19"/>
    </row>
    <row r="140" ht="15.75" customHeight="1">
      <c r="A140" s="18">
        <v>136.0</v>
      </c>
      <c r="B140" s="19" t="s">
        <v>620</v>
      </c>
      <c r="C140" s="19" t="s">
        <v>837</v>
      </c>
      <c r="D140" s="19" t="s">
        <v>838</v>
      </c>
      <c r="E140" s="20" t="s">
        <v>33</v>
      </c>
      <c r="F140" s="48" t="s">
        <v>77</v>
      </c>
      <c r="G140" s="37" t="s">
        <v>49</v>
      </c>
      <c r="H140" s="39"/>
      <c r="I140" s="19"/>
      <c r="J140" s="19" t="str">
        <f t="array" ref="J140">IF($I140="","",IFERROR(INDEX(Legend!$C$41:$C$45,MATCH($I140,Legend!$B$41:$B$45,0)),""))</f>
        <v/>
      </c>
      <c r="K140" s="19"/>
    </row>
    <row r="141" ht="15.75" customHeight="1">
      <c r="A141" s="18">
        <v>137.0</v>
      </c>
      <c r="B141" s="19" t="s">
        <v>620</v>
      </c>
      <c r="C141" s="19" t="s">
        <v>837</v>
      </c>
      <c r="D141" s="19" t="s">
        <v>840</v>
      </c>
      <c r="E141" s="20" t="s">
        <v>33</v>
      </c>
      <c r="F141" s="48" t="s">
        <v>77</v>
      </c>
      <c r="G141" s="37" t="s">
        <v>49</v>
      </c>
      <c r="H141" s="39" t="s">
        <v>841</v>
      </c>
      <c r="I141" s="19"/>
      <c r="J141" s="19" t="str">
        <f t="array" ref="J141">IF($I141="","",IFERROR(INDEX(Legend!$C$41:$C$45,MATCH($I141,Legend!$B$41:$B$45,0)),""))</f>
        <v/>
      </c>
      <c r="K141" s="19"/>
    </row>
    <row r="142" ht="15.75" customHeight="1">
      <c r="A142" s="18">
        <v>138.0</v>
      </c>
      <c r="B142" s="19" t="s">
        <v>620</v>
      </c>
      <c r="C142" s="19" t="s">
        <v>837</v>
      </c>
      <c r="D142" s="19" t="s">
        <v>844</v>
      </c>
      <c r="E142" s="53" t="s">
        <v>42</v>
      </c>
      <c r="F142" s="48" t="s">
        <v>77</v>
      </c>
      <c r="G142" s="37" t="s">
        <v>49</v>
      </c>
      <c r="H142" s="39" t="s">
        <v>845</v>
      </c>
      <c r="I142" s="19"/>
      <c r="J142" s="19" t="str">
        <f t="array" ref="J142">IF($I142="","",IFERROR(INDEX(Legend!$C$41:$C$45,MATCH($I142,Legend!$B$41:$B$45,0)),""))</f>
        <v/>
      </c>
      <c r="K142" s="19"/>
    </row>
    <row r="143" ht="15.75" customHeight="1">
      <c r="A143" s="18">
        <v>139.0</v>
      </c>
      <c r="B143" s="19" t="s">
        <v>620</v>
      </c>
      <c r="C143" s="19" t="s">
        <v>837</v>
      </c>
      <c r="D143" s="19" t="s">
        <v>846</v>
      </c>
      <c r="E143" s="53" t="s">
        <v>42</v>
      </c>
      <c r="F143" s="54" t="s">
        <v>46</v>
      </c>
      <c r="G143" s="61" t="s">
        <v>47</v>
      </c>
      <c r="H143" s="39" t="s">
        <v>847</v>
      </c>
      <c r="I143" s="19"/>
      <c r="J143" s="19" t="str">
        <f t="array" ref="J143">IF($I143="","",IFERROR(INDEX(Legend!$C$41:$C$45,MATCH($I143,Legend!$B$41:$B$45,0)),""))</f>
        <v/>
      </c>
      <c r="K143" s="19"/>
    </row>
    <row r="144" ht="15.75" customHeight="1">
      <c r="A144" s="18">
        <v>140.0</v>
      </c>
      <c r="B144" s="19" t="s">
        <v>620</v>
      </c>
      <c r="C144" s="19" t="s">
        <v>837</v>
      </c>
      <c r="D144" s="19" t="s">
        <v>850</v>
      </c>
      <c r="E144" s="53" t="s">
        <v>42</v>
      </c>
      <c r="F144" s="31" t="s">
        <v>34</v>
      </c>
      <c r="G144" s="37" t="s">
        <v>49</v>
      </c>
      <c r="H144" s="39"/>
      <c r="I144" s="19"/>
      <c r="J144" s="19" t="str">
        <f t="array" ref="J144">IF($I144="","",IFERROR(INDEX(Legend!$C$41:$C$45,MATCH($I144,Legend!$B$41:$B$45,0)),""))</f>
        <v/>
      </c>
      <c r="K144" s="19"/>
    </row>
    <row r="145" ht="15.75" customHeight="1">
      <c r="A145" s="18">
        <v>141.0</v>
      </c>
      <c r="B145" s="19" t="s">
        <v>620</v>
      </c>
      <c r="C145" s="19" t="s">
        <v>837</v>
      </c>
      <c r="D145" s="19" t="s">
        <v>854</v>
      </c>
      <c r="E145" s="53" t="s">
        <v>42</v>
      </c>
      <c r="F145" s="31" t="s">
        <v>34</v>
      </c>
      <c r="G145" s="37" t="s">
        <v>49</v>
      </c>
      <c r="H145" s="39" t="s">
        <v>855</v>
      </c>
      <c r="I145" s="19"/>
      <c r="J145" s="19" t="str">
        <f t="array" ref="J145">IF($I145="","",IFERROR(INDEX(Legend!$C$41:$C$45,MATCH($I145,Legend!$B$41:$B$45,0)),""))</f>
        <v/>
      </c>
      <c r="K145" s="19"/>
    </row>
    <row r="146" ht="15.75" customHeight="1">
      <c r="A146" s="18">
        <v>142.0</v>
      </c>
      <c r="B146" s="19" t="s">
        <v>620</v>
      </c>
      <c r="C146" s="19" t="s">
        <v>837</v>
      </c>
      <c r="D146" s="19" t="s">
        <v>857</v>
      </c>
      <c r="E146" s="53" t="s">
        <v>42</v>
      </c>
      <c r="F146" s="31" t="s">
        <v>34</v>
      </c>
      <c r="G146" s="37" t="s">
        <v>49</v>
      </c>
      <c r="H146" s="39" t="s">
        <v>859</v>
      </c>
      <c r="I146" s="19"/>
      <c r="J146" s="19" t="str">
        <f t="array" ref="J146">IF($I146="","",IFERROR(INDEX(Legend!$C$41:$C$45,MATCH($I146,Legend!$B$41:$B$45,0)),""))</f>
        <v/>
      </c>
      <c r="K146" s="19"/>
    </row>
    <row r="147" ht="15.75" customHeight="1">
      <c r="A147" s="18">
        <v>143.0</v>
      </c>
      <c r="B147" s="19" t="s">
        <v>620</v>
      </c>
      <c r="C147" s="19" t="s">
        <v>837</v>
      </c>
      <c r="D147" s="19" t="s">
        <v>861</v>
      </c>
      <c r="E147" s="53" t="s">
        <v>42</v>
      </c>
      <c r="F147" s="31" t="s">
        <v>34</v>
      </c>
      <c r="G147" s="46" t="s">
        <v>50</v>
      </c>
      <c r="H147" s="39"/>
      <c r="I147" s="19"/>
      <c r="J147" s="19" t="str">
        <f t="array" ref="J147">IF($I147="","",IFERROR(INDEX(Legend!$C$41:$C$45,MATCH($I147,Legend!$B$41:$B$45,0)),""))</f>
        <v/>
      </c>
      <c r="K147" s="19"/>
    </row>
    <row r="148" ht="15.75" customHeight="1">
      <c r="A148" s="18">
        <v>144.0</v>
      </c>
      <c r="B148" s="19" t="s">
        <v>620</v>
      </c>
      <c r="C148" s="19" t="s">
        <v>837</v>
      </c>
      <c r="D148" s="19" t="s">
        <v>864</v>
      </c>
      <c r="E148" s="53" t="s">
        <v>42</v>
      </c>
      <c r="F148" s="31" t="s">
        <v>34</v>
      </c>
      <c r="G148" s="46" t="s">
        <v>50</v>
      </c>
      <c r="H148" s="39" t="s">
        <v>865</v>
      </c>
      <c r="I148" s="19"/>
      <c r="J148" s="19" t="str">
        <f t="array" ref="J148">IF($I148="","",IFERROR(INDEX(Legend!$C$41:$C$45,MATCH($I148,Legend!$B$41:$B$45,0)),""))</f>
        <v/>
      </c>
      <c r="K148" s="19"/>
    </row>
    <row r="149" ht="15.75" customHeight="1">
      <c r="A149" s="18">
        <v>145.0</v>
      </c>
      <c r="B149" s="19" t="s">
        <v>620</v>
      </c>
      <c r="C149" s="19" t="s">
        <v>867</v>
      </c>
      <c r="D149" s="19" t="s">
        <v>868</v>
      </c>
      <c r="E149" s="20" t="s">
        <v>33</v>
      </c>
      <c r="F149" s="48" t="s">
        <v>77</v>
      </c>
      <c r="G149" s="37" t="s">
        <v>49</v>
      </c>
      <c r="H149" s="39" t="s">
        <v>869</v>
      </c>
      <c r="I149" s="19"/>
      <c r="J149" s="19" t="str">
        <f t="array" ref="J149">IF($I149="","",IFERROR(INDEX(Legend!$C$41:$C$45,MATCH($I149,Legend!$B$41:$B$45,0)),""))</f>
        <v/>
      </c>
      <c r="K149" s="19"/>
    </row>
    <row r="150" ht="15.75" customHeight="1">
      <c r="A150" s="18">
        <v>146.0</v>
      </c>
      <c r="B150" s="19" t="s">
        <v>620</v>
      </c>
      <c r="C150" s="19" t="s">
        <v>867</v>
      </c>
      <c r="D150" s="19" t="s">
        <v>873</v>
      </c>
      <c r="E150" s="53" t="s">
        <v>42</v>
      </c>
      <c r="F150" s="31" t="s">
        <v>34</v>
      </c>
      <c r="G150" s="46" t="s">
        <v>50</v>
      </c>
      <c r="H150" s="39" t="s">
        <v>874</v>
      </c>
      <c r="I150" s="19"/>
      <c r="J150" s="19" t="str">
        <f t="array" ref="J150">IF($I150="","",IFERROR(INDEX(Legend!$C$41:$C$45,MATCH($I150,Legend!$B$41:$B$45,0)),""))</f>
        <v/>
      </c>
      <c r="K150" s="19"/>
    </row>
    <row r="151" ht="15.75" customHeight="1">
      <c r="A151" s="18">
        <v>147.0</v>
      </c>
      <c r="B151" s="19" t="s">
        <v>620</v>
      </c>
      <c r="C151" s="19" t="s">
        <v>867</v>
      </c>
      <c r="D151" s="19" t="s">
        <v>875</v>
      </c>
      <c r="E151" s="53" t="s">
        <v>42</v>
      </c>
      <c r="F151" s="31" t="s">
        <v>34</v>
      </c>
      <c r="G151" s="46" t="s">
        <v>50</v>
      </c>
      <c r="H151" s="39" t="s">
        <v>877</v>
      </c>
      <c r="I151" s="19"/>
      <c r="J151" s="19" t="str">
        <f t="array" ref="J151">IF($I151="","",IFERROR(INDEX(Legend!$C$41:$C$45,MATCH($I151,Legend!$B$41:$B$45,0)),""))</f>
        <v/>
      </c>
      <c r="K151" s="19"/>
    </row>
    <row r="152" ht="15.75" customHeight="1">
      <c r="A152" s="18">
        <v>148.0</v>
      </c>
      <c r="B152" s="19" t="s">
        <v>620</v>
      </c>
      <c r="C152" s="19" t="s">
        <v>867</v>
      </c>
      <c r="D152" s="19" t="s">
        <v>883</v>
      </c>
      <c r="E152" s="53" t="s">
        <v>42</v>
      </c>
      <c r="F152" s="48" t="s">
        <v>77</v>
      </c>
      <c r="G152" s="37" t="s">
        <v>49</v>
      </c>
      <c r="H152" s="39" t="s">
        <v>885</v>
      </c>
      <c r="I152" s="19"/>
      <c r="J152" s="19" t="str">
        <f t="array" ref="J152">IF($I152="","",IFERROR(INDEX(Legend!$C$41:$C$45,MATCH($I152,Legend!$B$41:$B$45,0)),""))</f>
        <v/>
      </c>
      <c r="K152" s="19"/>
    </row>
    <row r="153" ht="15.75" customHeight="1">
      <c r="A153" s="18">
        <v>149.0</v>
      </c>
      <c r="B153" s="19" t="s">
        <v>620</v>
      </c>
      <c r="C153" s="19" t="s">
        <v>867</v>
      </c>
      <c r="D153" s="19" t="s">
        <v>887</v>
      </c>
      <c r="E153" s="53" t="s">
        <v>42</v>
      </c>
      <c r="F153" s="31" t="s">
        <v>34</v>
      </c>
      <c r="G153" s="46" t="s">
        <v>50</v>
      </c>
      <c r="H153" s="39" t="s">
        <v>888</v>
      </c>
      <c r="I153" s="19"/>
      <c r="J153" s="19" t="str">
        <f t="array" ref="J153">IF($I153="","",IFERROR(INDEX(Legend!$C$41:$C$45,MATCH($I153,Legend!$B$41:$B$45,0)),""))</f>
        <v/>
      </c>
      <c r="K153" s="19"/>
    </row>
    <row r="154" ht="15.75" customHeight="1">
      <c r="A154" s="18">
        <v>150.0</v>
      </c>
      <c r="B154" s="19" t="s">
        <v>620</v>
      </c>
      <c r="C154" s="19" t="s">
        <v>867</v>
      </c>
      <c r="D154" s="19" t="s">
        <v>890</v>
      </c>
      <c r="E154" s="53" t="s">
        <v>42</v>
      </c>
      <c r="F154" s="31" t="s">
        <v>34</v>
      </c>
      <c r="G154" s="37" t="s">
        <v>49</v>
      </c>
      <c r="H154" s="39" t="s">
        <v>891</v>
      </c>
      <c r="I154" s="19"/>
      <c r="J154" s="19" t="str">
        <f t="array" ref="J154">IF($I154="","",IFERROR(INDEX(Legend!$C$41:$C$45,MATCH($I154,Legend!$B$41:$B$45,0)),""))</f>
        <v/>
      </c>
      <c r="K154" s="19"/>
    </row>
    <row r="155" ht="15.75" customHeight="1">
      <c r="A155" s="18">
        <v>151.0</v>
      </c>
      <c r="B155" s="19" t="s">
        <v>620</v>
      </c>
      <c r="C155" s="19" t="s">
        <v>867</v>
      </c>
      <c r="D155" s="19" t="s">
        <v>892</v>
      </c>
      <c r="E155" s="53" t="s">
        <v>42</v>
      </c>
      <c r="F155" s="31" t="s">
        <v>34</v>
      </c>
      <c r="G155" s="37" t="s">
        <v>49</v>
      </c>
      <c r="H155" s="39"/>
      <c r="I155" s="19"/>
      <c r="J155" s="19" t="str">
        <f t="array" ref="J155">IF($I155="","",IFERROR(INDEX(Legend!$C$41:$C$45,MATCH($I155,Legend!$B$41:$B$45,0)),""))</f>
        <v/>
      </c>
      <c r="K155" s="19"/>
    </row>
    <row r="156" ht="15.75" customHeight="1">
      <c r="A156" s="18">
        <v>152.0</v>
      </c>
      <c r="B156" s="19" t="s">
        <v>620</v>
      </c>
      <c r="C156" s="19" t="s">
        <v>867</v>
      </c>
      <c r="D156" s="19" t="s">
        <v>895</v>
      </c>
      <c r="E156" s="53" t="s">
        <v>42</v>
      </c>
      <c r="F156" s="54" t="s">
        <v>46</v>
      </c>
      <c r="G156" s="61" t="s">
        <v>47</v>
      </c>
      <c r="H156" s="39" t="s">
        <v>896</v>
      </c>
      <c r="I156" s="19"/>
      <c r="J156" s="19" t="str">
        <f t="array" ref="J156">IF($I156="","",IFERROR(INDEX(Legend!$C$41:$C$45,MATCH($I156,Legend!$B$41:$B$45,0)),""))</f>
        <v/>
      </c>
      <c r="K156" s="19"/>
    </row>
    <row r="157" ht="15.75" customHeight="1">
      <c r="A157" s="18">
        <v>153.0</v>
      </c>
      <c r="B157" s="19" t="s">
        <v>620</v>
      </c>
      <c r="C157" s="19" t="s">
        <v>897</v>
      </c>
      <c r="D157" s="19" t="s">
        <v>898</v>
      </c>
      <c r="E157" s="20" t="s">
        <v>33</v>
      </c>
      <c r="F157" s="31" t="s">
        <v>34</v>
      </c>
      <c r="G157" s="37" t="s">
        <v>49</v>
      </c>
      <c r="H157" s="39" t="s">
        <v>899</v>
      </c>
      <c r="I157" s="19"/>
      <c r="J157" s="19" t="str">
        <f t="array" ref="J157">IF($I157="","",IFERROR(INDEX(Legend!$C$41:$C$45,MATCH($I157,Legend!$B$41:$B$45,0)),""))</f>
        <v/>
      </c>
      <c r="K157" s="19"/>
    </row>
    <row r="158" ht="15.75" customHeight="1">
      <c r="A158" s="18">
        <v>154.0</v>
      </c>
      <c r="B158" s="19" t="s">
        <v>620</v>
      </c>
      <c r="C158" s="19" t="s">
        <v>897</v>
      </c>
      <c r="D158" s="19" t="s">
        <v>901</v>
      </c>
      <c r="E158" s="20" t="s">
        <v>33</v>
      </c>
      <c r="F158" s="48" t="s">
        <v>77</v>
      </c>
      <c r="G158" s="37" t="s">
        <v>49</v>
      </c>
      <c r="H158" s="39" t="s">
        <v>902</v>
      </c>
      <c r="I158" s="19"/>
      <c r="J158" s="19" t="str">
        <f t="array" ref="J158">IF($I158="","",IFERROR(INDEX(Legend!$C$41:$C$45,MATCH($I158,Legend!$B$41:$B$45,0)),""))</f>
        <v/>
      </c>
      <c r="K158" s="19"/>
    </row>
    <row r="159" ht="15.75" customHeight="1">
      <c r="A159" s="18">
        <v>155.0</v>
      </c>
      <c r="B159" s="19" t="s">
        <v>620</v>
      </c>
      <c r="C159" s="19" t="s">
        <v>897</v>
      </c>
      <c r="D159" s="19" t="s">
        <v>904</v>
      </c>
      <c r="E159" s="20" t="s">
        <v>33</v>
      </c>
      <c r="F159" s="31" t="s">
        <v>34</v>
      </c>
      <c r="G159" s="37" t="s">
        <v>49</v>
      </c>
      <c r="H159" s="39"/>
      <c r="I159" s="19"/>
      <c r="J159" s="19" t="str">
        <f t="array" ref="J159">IF($I159="","",IFERROR(INDEX(Legend!$C$41:$C$45,MATCH($I159,Legend!$B$41:$B$45,0)),""))</f>
        <v/>
      </c>
      <c r="K159" s="19"/>
    </row>
    <row r="160" ht="15.75" customHeight="1">
      <c r="A160" s="18">
        <v>156.0</v>
      </c>
      <c r="B160" s="19" t="s">
        <v>620</v>
      </c>
      <c r="C160" s="19" t="s">
        <v>897</v>
      </c>
      <c r="D160" s="19" t="s">
        <v>906</v>
      </c>
      <c r="E160" s="53" t="s">
        <v>42</v>
      </c>
      <c r="F160" s="48" t="s">
        <v>77</v>
      </c>
      <c r="G160" s="37" t="s">
        <v>49</v>
      </c>
      <c r="H160" s="39" t="s">
        <v>908</v>
      </c>
      <c r="I160" s="19"/>
      <c r="J160" s="19" t="str">
        <f t="array" ref="J160">IF($I160="","",IFERROR(INDEX(Legend!$C$41:$C$45,MATCH($I160,Legend!$B$41:$B$45,0)),""))</f>
        <v/>
      </c>
      <c r="K160" s="19"/>
    </row>
    <row r="161" ht="15.75" customHeight="1">
      <c r="A161" s="18">
        <v>157.0</v>
      </c>
      <c r="B161" s="19" t="s">
        <v>620</v>
      </c>
      <c r="C161" s="19" t="s">
        <v>897</v>
      </c>
      <c r="D161" s="19" t="s">
        <v>909</v>
      </c>
      <c r="E161" s="53" t="s">
        <v>42</v>
      </c>
      <c r="F161" s="31" t="s">
        <v>34</v>
      </c>
      <c r="G161" s="46" t="s">
        <v>50</v>
      </c>
      <c r="H161" s="39"/>
      <c r="I161" s="19"/>
      <c r="J161" s="19" t="str">
        <f t="array" ref="J161">IF($I161="","",IFERROR(INDEX(Legend!$C$41:$C$45,MATCH($I161,Legend!$B$41:$B$45,0)),""))</f>
        <v/>
      </c>
      <c r="K161" s="19"/>
    </row>
    <row r="162" ht="15.75" customHeight="1">
      <c r="A162" s="18">
        <v>158.0</v>
      </c>
      <c r="B162" s="19" t="s">
        <v>620</v>
      </c>
      <c r="C162" s="19" t="s">
        <v>897</v>
      </c>
      <c r="D162" s="19" t="s">
        <v>912</v>
      </c>
      <c r="E162" s="20" t="s">
        <v>33</v>
      </c>
      <c r="F162" s="48" t="s">
        <v>77</v>
      </c>
      <c r="G162" s="37" t="s">
        <v>49</v>
      </c>
      <c r="H162" s="39" t="s">
        <v>913</v>
      </c>
      <c r="I162" s="19"/>
      <c r="J162" s="19" t="str">
        <f t="array" ref="J162">IF($I162="","",IFERROR(INDEX(Legend!$C$41:$C$45,MATCH($I162,Legend!$B$41:$B$45,0)),""))</f>
        <v/>
      </c>
      <c r="K162" s="19"/>
    </row>
    <row r="163" ht="15.75" customHeight="1">
      <c r="A163" s="18">
        <v>159.0</v>
      </c>
      <c r="B163" s="19" t="s">
        <v>620</v>
      </c>
      <c r="C163" s="19" t="s">
        <v>897</v>
      </c>
      <c r="D163" s="19" t="s">
        <v>915</v>
      </c>
      <c r="E163" s="53" t="s">
        <v>42</v>
      </c>
      <c r="F163" s="31" t="s">
        <v>34</v>
      </c>
      <c r="G163" s="37" t="s">
        <v>49</v>
      </c>
      <c r="H163" s="39"/>
      <c r="I163" s="19"/>
      <c r="J163" s="19" t="str">
        <f t="array" ref="J163">IF($I163="","",IFERROR(INDEX(Legend!$C$41:$C$45,MATCH($I163,Legend!$B$41:$B$45,0)),""))</f>
        <v/>
      </c>
      <c r="K163" s="19"/>
    </row>
    <row r="164" ht="15.75" customHeight="1">
      <c r="A164" s="18">
        <v>160.0</v>
      </c>
      <c r="B164" s="19" t="s">
        <v>620</v>
      </c>
      <c r="C164" s="19" t="s">
        <v>897</v>
      </c>
      <c r="D164" s="19" t="s">
        <v>918</v>
      </c>
      <c r="E164" s="20" t="s">
        <v>33</v>
      </c>
      <c r="F164" s="48" t="s">
        <v>77</v>
      </c>
      <c r="G164" s="37" t="s">
        <v>49</v>
      </c>
      <c r="H164" s="39" t="s">
        <v>919</v>
      </c>
      <c r="I164" s="19"/>
      <c r="J164" s="19" t="str">
        <f t="array" ref="J164">IF($I164="","",IFERROR(INDEX(Legend!$C$41:$C$45,MATCH($I164,Legend!$B$41:$B$45,0)),""))</f>
        <v/>
      </c>
      <c r="K164" s="19"/>
    </row>
    <row r="165" ht="15.75" customHeight="1">
      <c r="A165" s="18">
        <v>161.0</v>
      </c>
      <c r="B165" s="19" t="s">
        <v>620</v>
      </c>
      <c r="C165" s="19" t="s">
        <v>897</v>
      </c>
      <c r="D165" s="19" t="s">
        <v>920</v>
      </c>
      <c r="E165" s="53" t="s">
        <v>42</v>
      </c>
      <c r="F165" s="31" t="s">
        <v>34</v>
      </c>
      <c r="G165" s="46" t="s">
        <v>50</v>
      </c>
      <c r="H165" s="39"/>
      <c r="I165" s="19"/>
      <c r="J165" s="19" t="str">
        <f t="array" ref="J165">IF($I165="","",IFERROR(INDEX(Legend!$C$41:$C$45,MATCH($I165,Legend!$B$41:$B$45,0)),""))</f>
        <v/>
      </c>
      <c r="K165" s="19"/>
    </row>
    <row r="166" ht="15.75" customHeight="1">
      <c r="A166" s="18">
        <v>162.0</v>
      </c>
      <c r="B166" s="19" t="s">
        <v>620</v>
      </c>
      <c r="C166" s="19" t="s">
        <v>923</v>
      </c>
      <c r="D166" s="19" t="s">
        <v>924</v>
      </c>
      <c r="E166" s="20" t="s">
        <v>33</v>
      </c>
      <c r="F166" s="31" t="s">
        <v>34</v>
      </c>
      <c r="G166" s="37" t="s">
        <v>49</v>
      </c>
      <c r="H166" s="39"/>
      <c r="I166" s="19"/>
      <c r="J166" s="19" t="str">
        <f t="array" ref="J166">IF($I166="","",IFERROR(INDEX(Legend!$C$41:$C$45,MATCH($I166,Legend!$B$41:$B$45,0)),""))</f>
        <v/>
      </c>
      <c r="K166" s="19"/>
    </row>
    <row r="167" ht="15.75" customHeight="1">
      <c r="A167" s="18">
        <v>163.0</v>
      </c>
      <c r="B167" s="19" t="s">
        <v>620</v>
      </c>
      <c r="C167" s="19" t="s">
        <v>923</v>
      </c>
      <c r="D167" s="19" t="s">
        <v>926</v>
      </c>
      <c r="E167" s="20" t="s">
        <v>33</v>
      </c>
      <c r="F167" s="31" t="s">
        <v>34</v>
      </c>
      <c r="G167" s="37" t="s">
        <v>49</v>
      </c>
      <c r="H167" s="39"/>
      <c r="I167" s="19"/>
      <c r="J167" s="19" t="str">
        <f t="array" ref="J167">IF($I167="","",IFERROR(INDEX(Legend!$C$41:$C$45,MATCH($I167,Legend!$B$41:$B$45,0)),""))</f>
        <v/>
      </c>
      <c r="K167" s="19"/>
    </row>
    <row r="168" ht="15.75" customHeight="1">
      <c r="A168" s="18">
        <v>164.0</v>
      </c>
      <c r="B168" s="19" t="s">
        <v>620</v>
      </c>
      <c r="C168" s="19" t="s">
        <v>923</v>
      </c>
      <c r="D168" s="19" t="s">
        <v>929</v>
      </c>
      <c r="E168" s="53" t="s">
        <v>42</v>
      </c>
      <c r="F168" s="48" t="s">
        <v>77</v>
      </c>
      <c r="G168" s="37" t="s">
        <v>49</v>
      </c>
      <c r="H168" s="39" t="s">
        <v>930</v>
      </c>
      <c r="I168" s="19"/>
      <c r="J168" s="19" t="str">
        <f t="array" ref="J168">IF($I168="","",IFERROR(INDEX(Legend!$C$41:$C$45,MATCH($I168,Legend!$B$41:$B$45,0)),""))</f>
        <v/>
      </c>
      <c r="K168" s="19"/>
    </row>
    <row r="169" ht="15.75" customHeight="1">
      <c r="A169" s="18">
        <v>165.0</v>
      </c>
      <c r="B169" s="19" t="s">
        <v>620</v>
      </c>
      <c r="C169" s="19" t="s">
        <v>923</v>
      </c>
      <c r="D169" s="19" t="s">
        <v>931</v>
      </c>
      <c r="E169" s="20" t="s">
        <v>33</v>
      </c>
      <c r="F169" s="31" t="s">
        <v>34</v>
      </c>
      <c r="G169" s="46" t="s">
        <v>50</v>
      </c>
      <c r="H169" s="39"/>
      <c r="I169" s="19"/>
      <c r="J169" s="19" t="str">
        <f t="array" ref="J169">IF($I169="","",IFERROR(INDEX(Legend!$C$41:$C$45,MATCH($I169,Legend!$B$41:$B$45,0)),""))</f>
        <v/>
      </c>
      <c r="K169" s="19"/>
    </row>
    <row r="170" ht="15.75" customHeight="1">
      <c r="A170" s="18">
        <v>166.0</v>
      </c>
      <c r="B170" s="19" t="s">
        <v>620</v>
      </c>
      <c r="C170" s="19" t="s">
        <v>923</v>
      </c>
      <c r="D170" s="19" t="s">
        <v>934</v>
      </c>
      <c r="E170" s="20" t="s">
        <v>33</v>
      </c>
      <c r="F170" s="31" t="s">
        <v>34</v>
      </c>
      <c r="G170" s="37" t="s">
        <v>49</v>
      </c>
      <c r="H170" s="39"/>
      <c r="I170" s="19"/>
      <c r="J170" s="19" t="str">
        <f t="array" ref="J170">IF($I170="","",IFERROR(INDEX(Legend!$C$41:$C$45,MATCH($I170,Legend!$B$41:$B$45,0)),""))</f>
        <v/>
      </c>
      <c r="K170" s="19"/>
    </row>
    <row r="171" ht="15.75" customHeight="1">
      <c r="A171" s="18">
        <v>167.0</v>
      </c>
      <c r="B171" s="19" t="s">
        <v>620</v>
      </c>
      <c r="C171" s="19" t="s">
        <v>923</v>
      </c>
      <c r="D171" s="19" t="s">
        <v>935</v>
      </c>
      <c r="E171" s="53" t="s">
        <v>42</v>
      </c>
      <c r="F171" s="31" t="s">
        <v>34</v>
      </c>
      <c r="G171" s="46" t="s">
        <v>50</v>
      </c>
      <c r="H171" s="39"/>
      <c r="I171" s="19"/>
      <c r="J171" s="19" t="str">
        <f t="array" ref="J171">IF($I171="","",IFERROR(INDEX(Legend!$C$41:$C$45,MATCH($I171,Legend!$B$41:$B$45,0)),""))</f>
        <v/>
      </c>
      <c r="K171" s="19"/>
    </row>
    <row r="172" ht="15.75" customHeight="1">
      <c r="A172" s="18">
        <v>168.0</v>
      </c>
      <c r="B172" s="19" t="s">
        <v>620</v>
      </c>
      <c r="C172" s="19" t="s">
        <v>923</v>
      </c>
      <c r="D172" s="19" t="s">
        <v>938</v>
      </c>
      <c r="E172" s="53" t="s">
        <v>42</v>
      </c>
      <c r="F172" s="31" t="s">
        <v>34</v>
      </c>
      <c r="G172" s="46" t="s">
        <v>50</v>
      </c>
      <c r="H172" s="39" t="s">
        <v>939</v>
      </c>
      <c r="I172" s="19"/>
      <c r="J172" s="19" t="str">
        <f t="array" ref="J172">IF($I172="","",IFERROR(INDEX(Legend!$C$41:$C$45,MATCH($I172,Legend!$B$41:$B$45,0)),""))</f>
        <v/>
      </c>
      <c r="K172" s="19"/>
    </row>
    <row r="173" ht="15.75" customHeight="1">
      <c r="A173" s="18">
        <v>169.0</v>
      </c>
      <c r="B173" s="19" t="s">
        <v>620</v>
      </c>
      <c r="C173" s="19" t="s">
        <v>923</v>
      </c>
      <c r="D173" s="19" t="s">
        <v>941</v>
      </c>
      <c r="E173" s="53" t="s">
        <v>42</v>
      </c>
      <c r="F173" s="31" t="s">
        <v>34</v>
      </c>
      <c r="G173" s="37" t="s">
        <v>49</v>
      </c>
      <c r="H173" s="39" t="s">
        <v>942</v>
      </c>
      <c r="I173" s="19"/>
      <c r="J173" s="19" t="str">
        <f t="array" ref="J173">IF($I173="","",IFERROR(INDEX(Legend!$C$41:$C$45,MATCH($I173,Legend!$B$41:$B$45,0)),""))</f>
        <v/>
      </c>
      <c r="K173" s="19"/>
    </row>
    <row r="174" ht="15.75" customHeight="1">
      <c r="A174" s="18">
        <v>170.0</v>
      </c>
      <c r="B174" s="19" t="s">
        <v>620</v>
      </c>
      <c r="C174" s="19" t="s">
        <v>923</v>
      </c>
      <c r="D174" s="19" t="s">
        <v>943</v>
      </c>
      <c r="E174" s="53" t="s">
        <v>42</v>
      </c>
      <c r="F174" s="31" t="s">
        <v>34</v>
      </c>
      <c r="G174" s="37" t="s">
        <v>49</v>
      </c>
      <c r="H174" s="39" t="s">
        <v>944</v>
      </c>
      <c r="I174" s="19"/>
      <c r="J174" s="19" t="str">
        <f t="array" ref="J174">IF($I174="","",IFERROR(INDEX(Legend!$C$41:$C$45,MATCH($I174,Legend!$B$41:$B$45,0)),""))</f>
        <v/>
      </c>
      <c r="K174" s="19"/>
    </row>
    <row r="175" ht="15.75" customHeight="1">
      <c r="A175" s="18">
        <v>171.0</v>
      </c>
      <c r="B175" s="19" t="s">
        <v>620</v>
      </c>
      <c r="C175" s="19" t="s">
        <v>923</v>
      </c>
      <c r="D175" s="19" t="s">
        <v>946</v>
      </c>
      <c r="E175" s="53" t="s">
        <v>42</v>
      </c>
      <c r="F175" s="54" t="s">
        <v>46</v>
      </c>
      <c r="G175" s="61" t="s">
        <v>47</v>
      </c>
      <c r="H175" s="39"/>
      <c r="I175" s="19"/>
      <c r="J175" s="19" t="str">
        <f t="array" ref="J175">IF($I175="","",IFERROR(INDEX(Legend!$C$41:$C$45,MATCH($I175,Legend!$B$41:$B$45,0)),""))</f>
        <v/>
      </c>
      <c r="K175" s="19"/>
    </row>
    <row r="176" ht="15.75" customHeight="1">
      <c r="A176" s="18">
        <v>172.0</v>
      </c>
      <c r="B176" s="19" t="s">
        <v>620</v>
      </c>
      <c r="C176" s="19" t="s">
        <v>923</v>
      </c>
      <c r="D176" s="19" t="s">
        <v>947</v>
      </c>
      <c r="E176" s="53" t="s">
        <v>42</v>
      </c>
      <c r="F176" s="48" t="s">
        <v>77</v>
      </c>
      <c r="G176" s="46" t="s">
        <v>50</v>
      </c>
      <c r="H176" s="39" t="s">
        <v>949</v>
      </c>
      <c r="I176" s="19"/>
      <c r="J176" s="19" t="str">
        <f t="array" ref="J176">IF($I176="","",IFERROR(INDEX(Legend!$C$41:$C$45,MATCH($I176,Legend!$B$41:$B$45,0)),""))</f>
        <v/>
      </c>
      <c r="K176" s="19"/>
    </row>
    <row r="177" ht="15.75" customHeight="1">
      <c r="A177" s="18">
        <v>173.0</v>
      </c>
      <c r="B177" s="19" t="s">
        <v>620</v>
      </c>
      <c r="C177" s="19" t="s">
        <v>923</v>
      </c>
      <c r="D177" s="19" t="s">
        <v>950</v>
      </c>
      <c r="E177" s="53" t="s">
        <v>42</v>
      </c>
      <c r="F177" s="31" t="s">
        <v>34</v>
      </c>
      <c r="G177" s="46" t="s">
        <v>50</v>
      </c>
      <c r="H177" s="39"/>
      <c r="I177" s="19"/>
      <c r="J177" s="19" t="str">
        <f t="array" ref="J177">IF($I177="","",IFERROR(INDEX(Legend!$C$41:$C$45,MATCH($I177,Legend!$B$41:$B$45,0)),""))</f>
        <v/>
      </c>
      <c r="K177" s="19"/>
    </row>
    <row r="178" ht="15.75" customHeight="1">
      <c r="A178" s="18">
        <v>174.0</v>
      </c>
      <c r="B178" s="19" t="s">
        <v>620</v>
      </c>
      <c r="C178" s="19" t="s">
        <v>953</v>
      </c>
      <c r="D178" s="19" t="s">
        <v>954</v>
      </c>
      <c r="E178" s="20" t="s">
        <v>33</v>
      </c>
      <c r="F178" s="48" t="s">
        <v>77</v>
      </c>
      <c r="G178" s="37" t="s">
        <v>49</v>
      </c>
      <c r="H178" s="39" t="s">
        <v>955</v>
      </c>
      <c r="I178" s="19"/>
      <c r="J178" s="19" t="str">
        <f t="array" ref="J178">IF($I178="","",IFERROR(INDEX(Legend!$C$41:$C$45,MATCH($I178,Legend!$B$41:$B$45,0)),""))</f>
        <v/>
      </c>
      <c r="K178" s="19"/>
    </row>
    <row r="179" ht="15.75" customHeight="1">
      <c r="A179" s="18">
        <v>175.0</v>
      </c>
      <c r="B179" s="19" t="s">
        <v>620</v>
      </c>
      <c r="C179" s="19" t="s">
        <v>953</v>
      </c>
      <c r="D179" s="19" t="s">
        <v>956</v>
      </c>
      <c r="E179" s="53" t="s">
        <v>42</v>
      </c>
      <c r="F179" s="31" t="s">
        <v>34</v>
      </c>
      <c r="G179" s="46" t="s">
        <v>50</v>
      </c>
      <c r="H179" s="39"/>
      <c r="I179" s="19"/>
      <c r="J179" s="19" t="str">
        <f t="array" ref="J179">IF($I179="","",IFERROR(INDEX(Legend!$C$41:$C$45,MATCH($I179,Legend!$B$41:$B$45,0)),""))</f>
        <v/>
      </c>
      <c r="K179" s="19"/>
    </row>
    <row r="180" ht="15.75" customHeight="1">
      <c r="A180" s="18">
        <v>176.0</v>
      </c>
      <c r="B180" s="19" t="s">
        <v>620</v>
      </c>
      <c r="C180" s="19" t="s">
        <v>953</v>
      </c>
      <c r="D180" s="19" t="s">
        <v>959</v>
      </c>
      <c r="E180" s="53" t="s">
        <v>42</v>
      </c>
      <c r="F180" s="31" t="s">
        <v>34</v>
      </c>
      <c r="G180" s="46" t="s">
        <v>50</v>
      </c>
      <c r="H180" s="39"/>
      <c r="I180" s="19"/>
      <c r="J180" s="19" t="str">
        <f t="array" ref="J180">IF($I180="","",IFERROR(INDEX(Legend!$C$41:$C$45,MATCH($I180,Legend!$B$41:$B$45,0)),""))</f>
        <v/>
      </c>
      <c r="K180" s="19"/>
    </row>
    <row r="181" ht="15.75" customHeight="1">
      <c r="A181" s="18">
        <v>177.0</v>
      </c>
      <c r="B181" s="19" t="s">
        <v>620</v>
      </c>
      <c r="C181" s="19" t="s">
        <v>953</v>
      </c>
      <c r="D181" s="19" t="s">
        <v>961</v>
      </c>
      <c r="E181" s="53" t="s">
        <v>42</v>
      </c>
      <c r="F181" s="31" t="s">
        <v>34</v>
      </c>
      <c r="G181" s="37" t="s">
        <v>49</v>
      </c>
      <c r="H181" s="39" t="s">
        <v>962</v>
      </c>
      <c r="I181" s="19"/>
      <c r="J181" s="19" t="str">
        <f t="array" ref="J181">IF($I181="","",IFERROR(INDEX(Legend!$C$41:$C$45,MATCH($I181,Legend!$B$41:$B$45,0)),""))</f>
        <v/>
      </c>
      <c r="K181" s="19"/>
    </row>
    <row r="182" ht="15.75" customHeight="1">
      <c r="A182" s="18">
        <v>178.0</v>
      </c>
      <c r="B182" s="19" t="s">
        <v>620</v>
      </c>
      <c r="C182" s="19" t="s">
        <v>953</v>
      </c>
      <c r="D182" s="19" t="s">
        <v>963</v>
      </c>
      <c r="E182" s="53" t="s">
        <v>42</v>
      </c>
      <c r="F182" s="31" t="s">
        <v>34</v>
      </c>
      <c r="G182" s="46" t="s">
        <v>50</v>
      </c>
      <c r="H182" s="39"/>
      <c r="I182" s="19"/>
      <c r="J182" s="19" t="str">
        <f t="array" ref="J182">IF($I182="","",IFERROR(INDEX(Legend!$C$41:$C$45,MATCH($I182,Legend!$B$41:$B$45,0)),""))</f>
        <v/>
      </c>
      <c r="K182" s="19"/>
    </row>
    <row r="183" ht="15.75" customHeight="1">
      <c r="A183" s="18">
        <v>179.0</v>
      </c>
      <c r="B183" s="19" t="s">
        <v>620</v>
      </c>
      <c r="C183" s="19" t="s">
        <v>953</v>
      </c>
      <c r="D183" s="19" t="s">
        <v>966</v>
      </c>
      <c r="E183" s="53" t="s">
        <v>42</v>
      </c>
      <c r="F183" s="31" t="s">
        <v>34</v>
      </c>
      <c r="G183" s="46" t="s">
        <v>50</v>
      </c>
      <c r="H183" s="39" t="s">
        <v>967</v>
      </c>
      <c r="I183" s="19"/>
      <c r="J183" s="19" t="str">
        <f t="array" ref="J183">IF($I183="","",IFERROR(INDEX(Legend!$C$41:$C$45,MATCH($I183,Legend!$B$41:$B$45,0)),""))</f>
        <v/>
      </c>
      <c r="K183" s="19"/>
    </row>
    <row r="184" ht="15.75" customHeight="1">
      <c r="A184" s="18">
        <v>180.0</v>
      </c>
      <c r="B184" s="19" t="s">
        <v>620</v>
      </c>
      <c r="C184" s="19" t="s">
        <v>953</v>
      </c>
      <c r="D184" s="19" t="s">
        <v>969</v>
      </c>
      <c r="E184" s="53" t="s">
        <v>42</v>
      </c>
      <c r="F184" s="54" t="s">
        <v>46</v>
      </c>
      <c r="G184" s="61" t="s">
        <v>47</v>
      </c>
      <c r="H184" s="39"/>
      <c r="I184" s="19"/>
      <c r="J184" s="19" t="str">
        <f t="array" ref="J184">IF($I184="","",IFERROR(INDEX(Legend!$C$41:$C$45,MATCH($I184,Legend!$B$41:$B$45,0)),""))</f>
        <v/>
      </c>
      <c r="K184" s="19"/>
    </row>
    <row r="185" ht="15.75" customHeight="1">
      <c r="A185" s="18">
        <v>181.0</v>
      </c>
      <c r="B185" s="19" t="s">
        <v>620</v>
      </c>
      <c r="C185" s="19" t="s">
        <v>953</v>
      </c>
      <c r="D185" s="19" t="s">
        <v>970</v>
      </c>
      <c r="E185" s="53" t="s">
        <v>42</v>
      </c>
      <c r="F185" s="54" t="s">
        <v>46</v>
      </c>
      <c r="G185" s="61" t="s">
        <v>47</v>
      </c>
      <c r="H185" s="39"/>
      <c r="I185" s="19"/>
      <c r="J185" s="19" t="str">
        <f t="array" ref="J185">IF($I185="","",IFERROR(INDEX(Legend!$C$41:$C$45,MATCH($I185,Legend!$B$41:$B$45,0)),""))</f>
        <v/>
      </c>
      <c r="K185" s="19"/>
    </row>
    <row r="186" ht="15.75" customHeight="1">
      <c r="A186" s="18">
        <v>182.0</v>
      </c>
      <c r="B186" s="19" t="s">
        <v>620</v>
      </c>
      <c r="C186" s="19" t="s">
        <v>972</v>
      </c>
      <c r="D186" s="19" t="s">
        <v>973</v>
      </c>
      <c r="E186" s="20" t="s">
        <v>33</v>
      </c>
      <c r="F186" s="48" t="s">
        <v>77</v>
      </c>
      <c r="G186" s="37" t="s">
        <v>49</v>
      </c>
      <c r="H186" s="39" t="s">
        <v>974</v>
      </c>
      <c r="I186" s="19"/>
      <c r="J186" s="19" t="str">
        <f t="array" ref="J186">IF($I186="","",IFERROR(INDEX(Legend!$C$41:$C$45,MATCH($I186,Legend!$B$41:$B$45,0)),""))</f>
        <v/>
      </c>
      <c r="K186" s="19"/>
    </row>
    <row r="187" ht="15.75" customHeight="1">
      <c r="A187" s="18">
        <v>183.0</v>
      </c>
      <c r="B187" s="19" t="s">
        <v>620</v>
      </c>
      <c r="C187" s="19" t="s">
        <v>972</v>
      </c>
      <c r="D187" s="19" t="s">
        <v>976</v>
      </c>
      <c r="E187" s="53" t="s">
        <v>42</v>
      </c>
      <c r="F187" s="31" t="s">
        <v>34</v>
      </c>
      <c r="G187" s="46" t="s">
        <v>50</v>
      </c>
      <c r="H187" s="39" t="s">
        <v>977</v>
      </c>
      <c r="I187" s="19"/>
      <c r="J187" s="19" t="str">
        <f t="array" ref="J187">IF($I187="","",IFERROR(INDEX(Legend!$C$41:$C$45,MATCH($I187,Legend!$B$41:$B$45,0)),""))</f>
        <v/>
      </c>
      <c r="K187" s="19"/>
    </row>
    <row r="188" ht="15.75" customHeight="1">
      <c r="A188" s="18">
        <v>184.0</v>
      </c>
      <c r="B188" s="19" t="s">
        <v>620</v>
      </c>
      <c r="C188" s="19" t="s">
        <v>972</v>
      </c>
      <c r="D188" s="19" t="s">
        <v>978</v>
      </c>
      <c r="E188" s="53" t="s">
        <v>42</v>
      </c>
      <c r="F188" s="31" t="s">
        <v>34</v>
      </c>
      <c r="G188" s="46" t="s">
        <v>50</v>
      </c>
      <c r="H188" s="39" t="s">
        <v>979</v>
      </c>
      <c r="I188" s="19"/>
      <c r="J188" s="19" t="str">
        <f t="array" ref="J188">IF($I188="","",IFERROR(INDEX(Legend!$C$41:$C$45,MATCH($I188,Legend!$B$41:$B$45,0)),""))</f>
        <v/>
      </c>
      <c r="K188" s="19"/>
    </row>
    <row r="189" ht="15.75" customHeight="1">
      <c r="A189" s="18">
        <v>185.0</v>
      </c>
      <c r="B189" s="19" t="s">
        <v>620</v>
      </c>
      <c r="C189" s="19" t="s">
        <v>972</v>
      </c>
      <c r="D189" s="19" t="s">
        <v>981</v>
      </c>
      <c r="E189" s="53" t="s">
        <v>42</v>
      </c>
      <c r="F189" s="48" t="s">
        <v>77</v>
      </c>
      <c r="G189" s="37" t="s">
        <v>49</v>
      </c>
      <c r="H189" s="39"/>
      <c r="I189" s="19"/>
      <c r="J189" s="19" t="str">
        <f t="array" ref="J189">IF($I189="","",IFERROR(INDEX(Legend!$C$41:$C$45,MATCH($I189,Legend!$B$41:$B$45,0)),""))</f>
        <v/>
      </c>
      <c r="K189" s="19"/>
    </row>
    <row r="190" ht="15.75" customHeight="1">
      <c r="A190" s="18">
        <v>186.0</v>
      </c>
      <c r="B190" s="19" t="s">
        <v>620</v>
      </c>
      <c r="C190" s="19" t="s">
        <v>972</v>
      </c>
      <c r="D190" s="19" t="s">
        <v>983</v>
      </c>
      <c r="E190" s="53" t="s">
        <v>42</v>
      </c>
      <c r="F190" s="31" t="s">
        <v>34</v>
      </c>
      <c r="G190" s="46" t="s">
        <v>50</v>
      </c>
      <c r="H190" s="39" t="s">
        <v>984</v>
      </c>
      <c r="I190" s="19"/>
      <c r="J190" s="19" t="str">
        <f t="array" ref="J190">IF($I190="","",IFERROR(INDEX(Legend!$C$41:$C$45,MATCH($I190,Legend!$B$41:$B$45,0)),""))</f>
        <v/>
      </c>
      <c r="K190" s="19"/>
    </row>
    <row r="191" ht="15.75" customHeight="1">
      <c r="A191" s="18">
        <v>187.0</v>
      </c>
      <c r="B191" s="19" t="s">
        <v>620</v>
      </c>
      <c r="C191" s="19" t="s">
        <v>986</v>
      </c>
      <c r="D191" s="19" t="s">
        <v>987</v>
      </c>
      <c r="E191" s="20" t="s">
        <v>33</v>
      </c>
      <c r="F191" s="48" t="s">
        <v>77</v>
      </c>
      <c r="G191" s="37" t="s">
        <v>49</v>
      </c>
      <c r="H191" s="39"/>
      <c r="I191" s="19"/>
      <c r="J191" s="19" t="str">
        <f t="array" ref="J191">IF($I191="","",IFERROR(INDEX(Legend!$C$41:$C$45,MATCH($I191,Legend!$B$41:$B$45,0)),""))</f>
        <v/>
      </c>
      <c r="K191" s="19"/>
    </row>
    <row r="192" ht="15.75" customHeight="1">
      <c r="A192" s="18">
        <v>188.0</v>
      </c>
      <c r="B192" s="19" t="s">
        <v>620</v>
      </c>
      <c r="C192" s="19" t="s">
        <v>986</v>
      </c>
      <c r="D192" s="19" t="s">
        <v>988</v>
      </c>
      <c r="E192" s="20" t="s">
        <v>33</v>
      </c>
      <c r="F192" s="31" t="s">
        <v>34</v>
      </c>
      <c r="G192" s="37" t="s">
        <v>49</v>
      </c>
      <c r="H192" s="39"/>
      <c r="I192" s="19"/>
      <c r="J192" s="19" t="str">
        <f t="array" ref="J192">IF($I192="","",IFERROR(INDEX(Legend!$C$41:$C$45,MATCH($I192,Legend!$B$41:$B$45,0)),""))</f>
        <v/>
      </c>
      <c r="K192" s="19"/>
    </row>
    <row r="193" ht="15.75" customHeight="1">
      <c r="A193" s="18">
        <v>189.0</v>
      </c>
      <c r="B193" s="19" t="s">
        <v>620</v>
      </c>
      <c r="C193" s="19" t="s">
        <v>986</v>
      </c>
      <c r="D193" s="19" t="s">
        <v>991</v>
      </c>
      <c r="E193" s="20" t="s">
        <v>33</v>
      </c>
      <c r="F193" s="31" t="s">
        <v>34</v>
      </c>
      <c r="G193" s="37" t="s">
        <v>49</v>
      </c>
      <c r="H193" s="39"/>
      <c r="I193" s="19"/>
      <c r="J193" s="19" t="str">
        <f t="array" ref="J193">IF($I193="","",IFERROR(INDEX(Legend!$C$41:$C$45,MATCH($I193,Legend!$B$41:$B$45,0)),""))</f>
        <v/>
      </c>
      <c r="K193" s="19"/>
    </row>
    <row r="194" ht="15.75" customHeight="1">
      <c r="A194" s="18">
        <v>190.0</v>
      </c>
      <c r="B194" s="19" t="s">
        <v>620</v>
      </c>
      <c r="C194" s="19" t="s">
        <v>986</v>
      </c>
      <c r="D194" s="19" t="s">
        <v>992</v>
      </c>
      <c r="E194" s="20" t="s">
        <v>33</v>
      </c>
      <c r="F194" s="31" t="s">
        <v>34</v>
      </c>
      <c r="G194" s="37" t="s">
        <v>49</v>
      </c>
      <c r="H194" s="39"/>
      <c r="I194" s="19"/>
      <c r="J194" s="19" t="str">
        <f t="array" ref="J194">IF($I194="","",IFERROR(INDEX(Legend!$C$41:$C$45,MATCH($I194,Legend!$B$41:$B$45,0)),""))</f>
        <v/>
      </c>
      <c r="K194" s="19"/>
    </row>
    <row r="195" ht="15.75" customHeight="1">
      <c r="A195" s="18">
        <v>191.0</v>
      </c>
      <c r="B195" s="19" t="s">
        <v>620</v>
      </c>
      <c r="C195" s="19" t="s">
        <v>986</v>
      </c>
      <c r="D195" s="19" t="s">
        <v>994</v>
      </c>
      <c r="E195" s="20" t="s">
        <v>33</v>
      </c>
      <c r="F195" s="31" t="s">
        <v>34</v>
      </c>
      <c r="G195" s="37" t="s">
        <v>49</v>
      </c>
      <c r="H195" s="39"/>
      <c r="I195" s="19"/>
      <c r="J195" s="19" t="str">
        <f t="array" ref="J195">IF($I195="","",IFERROR(INDEX(Legend!$C$41:$C$45,MATCH($I195,Legend!$B$41:$B$45,0)),""))</f>
        <v/>
      </c>
      <c r="K195" s="19"/>
    </row>
    <row r="196" ht="15.75" customHeight="1">
      <c r="A196" s="18">
        <v>192.0</v>
      </c>
      <c r="B196" s="19" t="s">
        <v>620</v>
      </c>
      <c r="C196" s="19" t="s">
        <v>986</v>
      </c>
      <c r="D196" s="19" t="s">
        <v>996</v>
      </c>
      <c r="E196" s="53" t="s">
        <v>42</v>
      </c>
      <c r="F196" s="48" t="s">
        <v>77</v>
      </c>
      <c r="G196" s="37" t="s">
        <v>49</v>
      </c>
      <c r="H196" s="39" t="s">
        <v>997</v>
      </c>
      <c r="I196" s="19"/>
      <c r="J196" s="19" t="str">
        <f t="array" ref="J196">IF($I196="","",IFERROR(INDEX(Legend!$C$41:$C$45,MATCH($I196,Legend!$B$41:$B$45,0)),""))</f>
        <v/>
      </c>
      <c r="K196" s="19"/>
    </row>
    <row r="197" ht="15.75" customHeight="1">
      <c r="A197" s="18">
        <v>193.0</v>
      </c>
      <c r="B197" s="19" t="s">
        <v>620</v>
      </c>
      <c r="C197" s="19" t="s">
        <v>986</v>
      </c>
      <c r="D197" s="19" t="s">
        <v>999</v>
      </c>
      <c r="E197" s="20" t="s">
        <v>33</v>
      </c>
      <c r="F197" s="31" t="s">
        <v>34</v>
      </c>
      <c r="G197" s="37" t="s">
        <v>49</v>
      </c>
      <c r="H197" s="39"/>
      <c r="I197" s="19"/>
      <c r="J197" s="19" t="str">
        <f t="array" ref="J197">IF($I197="","",IFERROR(INDEX(Legend!$C$41:$C$45,MATCH($I197,Legend!$B$41:$B$45,0)),""))</f>
        <v/>
      </c>
      <c r="K197" s="19"/>
    </row>
    <row r="198" ht="15.75" customHeight="1">
      <c r="A198" s="18">
        <v>194.0</v>
      </c>
      <c r="B198" s="19" t="s">
        <v>620</v>
      </c>
      <c r="C198" s="19" t="s">
        <v>986</v>
      </c>
      <c r="D198" s="19" t="s">
        <v>1004</v>
      </c>
      <c r="E198" s="53" t="s">
        <v>42</v>
      </c>
      <c r="F198" s="31" t="s">
        <v>34</v>
      </c>
      <c r="G198" s="37" t="s">
        <v>49</v>
      </c>
      <c r="H198" s="39" t="s">
        <v>1005</v>
      </c>
      <c r="I198" s="19"/>
      <c r="J198" s="19" t="str">
        <f t="array" ref="J198">IF($I198="","",IFERROR(INDEX(Legend!$C$41:$C$45,MATCH($I198,Legend!$B$41:$B$45,0)),""))</f>
        <v/>
      </c>
      <c r="K198" s="19"/>
    </row>
    <row r="199" ht="15.75" customHeight="1">
      <c r="A199" s="18">
        <v>195.0</v>
      </c>
      <c r="B199" s="19" t="s">
        <v>620</v>
      </c>
      <c r="C199" s="19" t="s">
        <v>986</v>
      </c>
      <c r="D199" s="19" t="s">
        <v>1006</v>
      </c>
      <c r="E199" s="53" t="s">
        <v>42</v>
      </c>
      <c r="F199" s="48" t="s">
        <v>77</v>
      </c>
      <c r="G199" s="37" t="s">
        <v>49</v>
      </c>
      <c r="H199" s="39"/>
      <c r="I199" s="19"/>
      <c r="J199" s="19" t="str">
        <f t="array" ref="J199">IF($I199="","",IFERROR(INDEX(Legend!$C$41:$C$45,MATCH($I199,Legend!$B$41:$B$45,0)),""))</f>
        <v/>
      </c>
      <c r="K199" s="19"/>
    </row>
    <row r="200" ht="15.75" customHeight="1">
      <c r="A200" s="18">
        <v>196.0</v>
      </c>
      <c r="B200" s="19" t="s">
        <v>620</v>
      </c>
      <c r="C200" s="19" t="s">
        <v>986</v>
      </c>
      <c r="D200" s="19" t="s">
        <v>1009</v>
      </c>
      <c r="E200" s="53" t="s">
        <v>42</v>
      </c>
      <c r="F200" s="48" t="s">
        <v>77</v>
      </c>
      <c r="G200" s="46" t="s">
        <v>50</v>
      </c>
      <c r="H200" s="39" t="s">
        <v>1011</v>
      </c>
      <c r="I200" s="19"/>
      <c r="J200" s="19" t="str">
        <f t="array" ref="J200">IF($I200="","",IFERROR(INDEX(Legend!$C$41:$C$45,MATCH($I200,Legend!$B$41:$B$45,0)),""))</f>
        <v/>
      </c>
      <c r="K200" s="19"/>
    </row>
    <row r="201" ht="15.75" customHeight="1">
      <c r="A201" s="18">
        <v>197.0</v>
      </c>
      <c r="B201" s="19" t="s">
        <v>620</v>
      </c>
      <c r="C201" s="19" t="s">
        <v>986</v>
      </c>
      <c r="D201" s="19" t="s">
        <v>1012</v>
      </c>
      <c r="E201" s="53" t="s">
        <v>42</v>
      </c>
      <c r="F201" s="48" t="s">
        <v>77</v>
      </c>
      <c r="G201" s="46" t="s">
        <v>50</v>
      </c>
      <c r="H201" s="39" t="s">
        <v>1013</v>
      </c>
      <c r="I201" s="19"/>
      <c r="J201" s="19" t="str">
        <f t="array" ref="J201">IF($I201="","",IFERROR(INDEX(Legend!$C$41:$C$45,MATCH($I201,Legend!$B$41:$B$45,0)),""))</f>
        <v/>
      </c>
      <c r="K201" s="19"/>
    </row>
    <row r="202" ht="15.75" customHeight="1">
      <c r="A202" s="18">
        <v>198.0</v>
      </c>
      <c r="B202" s="19" t="s">
        <v>620</v>
      </c>
      <c r="C202" s="19" t="s">
        <v>986</v>
      </c>
      <c r="D202" s="19" t="s">
        <v>1016</v>
      </c>
      <c r="E202" s="53" t="s">
        <v>42</v>
      </c>
      <c r="F202" s="48" t="s">
        <v>77</v>
      </c>
      <c r="G202" s="46" t="s">
        <v>50</v>
      </c>
      <c r="H202" s="39" t="s">
        <v>1017</v>
      </c>
      <c r="I202" s="19"/>
      <c r="J202" s="19" t="str">
        <f t="array" ref="J202">IF($I202="","",IFERROR(INDEX(Legend!$C$41:$C$45,MATCH($I202,Legend!$B$41:$B$45,0)),""))</f>
        <v/>
      </c>
      <c r="K202" s="19"/>
    </row>
    <row r="203" ht="15.75" customHeight="1">
      <c r="A203" s="18">
        <v>199.0</v>
      </c>
      <c r="B203" s="19" t="s">
        <v>620</v>
      </c>
      <c r="C203" s="19" t="s">
        <v>986</v>
      </c>
      <c r="D203" s="19" t="s">
        <v>1018</v>
      </c>
      <c r="E203" s="20" t="s">
        <v>33</v>
      </c>
      <c r="F203" s="31" t="s">
        <v>34</v>
      </c>
      <c r="G203" s="37" t="s">
        <v>49</v>
      </c>
      <c r="H203" s="39"/>
      <c r="I203" s="19"/>
      <c r="J203" s="19" t="str">
        <f t="array" ref="J203">IF($I203="","",IFERROR(INDEX(Legend!$C$41:$C$45,MATCH($I203,Legend!$B$41:$B$45,0)),""))</f>
        <v/>
      </c>
      <c r="K203" s="19"/>
    </row>
    <row r="204" ht="15.75" customHeight="1">
      <c r="A204" s="18">
        <v>200.0</v>
      </c>
      <c r="B204" s="19" t="s">
        <v>620</v>
      </c>
      <c r="C204" s="19" t="s">
        <v>1022</v>
      </c>
      <c r="D204" s="19" t="s">
        <v>1023</v>
      </c>
      <c r="E204" s="53" t="s">
        <v>42</v>
      </c>
      <c r="F204" s="48" t="s">
        <v>77</v>
      </c>
      <c r="G204" s="37" t="s">
        <v>49</v>
      </c>
      <c r="H204" s="39"/>
      <c r="I204" s="19"/>
      <c r="J204" s="19" t="str">
        <f t="array" ref="J204">IF($I204="","",IFERROR(INDEX(Legend!$C$41:$C$45,MATCH($I204,Legend!$B$41:$B$45,0)),""))</f>
        <v/>
      </c>
      <c r="K204" s="19"/>
    </row>
    <row r="205" ht="15.75" customHeight="1">
      <c r="A205" s="18">
        <v>201.0</v>
      </c>
      <c r="B205" s="19" t="s">
        <v>620</v>
      </c>
      <c r="C205" s="19" t="s">
        <v>1022</v>
      </c>
      <c r="D205" s="19" t="s">
        <v>1024</v>
      </c>
      <c r="E205" s="53" t="s">
        <v>42</v>
      </c>
      <c r="F205" s="31" t="s">
        <v>34</v>
      </c>
      <c r="G205" s="37" t="s">
        <v>49</v>
      </c>
      <c r="H205" s="39"/>
      <c r="I205" s="19"/>
      <c r="J205" s="19" t="str">
        <f t="array" ref="J205">IF($I205="","",IFERROR(INDEX(Legend!$C$41:$C$45,MATCH($I205,Legend!$B$41:$B$45,0)),""))</f>
        <v/>
      </c>
      <c r="K205" s="19"/>
    </row>
    <row r="206" ht="15.75" customHeight="1">
      <c r="A206" s="18">
        <v>202.0</v>
      </c>
      <c r="B206" s="19" t="s">
        <v>620</v>
      </c>
      <c r="C206" s="19" t="s">
        <v>1022</v>
      </c>
      <c r="D206" s="19" t="s">
        <v>1027</v>
      </c>
      <c r="E206" s="53" t="s">
        <v>42</v>
      </c>
      <c r="F206" s="31" t="s">
        <v>34</v>
      </c>
      <c r="G206" s="37" t="s">
        <v>49</v>
      </c>
      <c r="H206" s="39"/>
      <c r="I206" s="19"/>
      <c r="J206" s="19" t="str">
        <f t="array" ref="J206">IF($I206="","",IFERROR(INDEX(Legend!$C$41:$C$45,MATCH($I206,Legend!$B$41:$B$45,0)),""))</f>
        <v/>
      </c>
      <c r="K206" s="19"/>
    </row>
    <row r="207" ht="15.75" customHeight="1">
      <c r="A207" s="18">
        <v>203.0</v>
      </c>
      <c r="B207" s="19" t="s">
        <v>620</v>
      </c>
      <c r="C207" s="19" t="s">
        <v>1022</v>
      </c>
      <c r="D207" s="19" t="s">
        <v>1028</v>
      </c>
      <c r="E207" s="53" t="s">
        <v>42</v>
      </c>
      <c r="F207" s="31" t="s">
        <v>34</v>
      </c>
      <c r="G207" s="37" t="s">
        <v>49</v>
      </c>
      <c r="H207" s="39"/>
      <c r="I207" s="19"/>
      <c r="J207" s="19" t="str">
        <f t="array" ref="J207">IF($I207="","",IFERROR(INDEX(Legend!$C$41:$C$45,MATCH($I207,Legend!$B$41:$B$45,0)),""))</f>
        <v/>
      </c>
      <c r="K207" s="19"/>
    </row>
    <row r="208" ht="15.75" customHeight="1">
      <c r="A208" s="18">
        <v>204.0</v>
      </c>
      <c r="B208" s="19" t="s">
        <v>620</v>
      </c>
      <c r="C208" s="19" t="s">
        <v>1022</v>
      </c>
      <c r="D208" s="19" t="s">
        <v>1031</v>
      </c>
      <c r="E208" s="53" t="s">
        <v>42</v>
      </c>
      <c r="F208" s="31" t="s">
        <v>34</v>
      </c>
      <c r="G208" s="37" t="s">
        <v>49</v>
      </c>
      <c r="H208" s="39"/>
      <c r="I208" s="19"/>
      <c r="J208" s="19" t="str">
        <f t="array" ref="J208">IF($I208="","",IFERROR(INDEX(Legend!$C$41:$C$45,MATCH($I208,Legend!$B$41:$B$45,0)),""))</f>
        <v/>
      </c>
      <c r="K208" s="19"/>
    </row>
    <row r="209" ht="15.75" customHeight="1">
      <c r="A209" s="18">
        <v>205.0</v>
      </c>
      <c r="B209" s="19" t="s">
        <v>620</v>
      </c>
      <c r="C209" s="19" t="s">
        <v>1022</v>
      </c>
      <c r="D209" s="19" t="s">
        <v>1032</v>
      </c>
      <c r="E209" s="53" t="s">
        <v>42</v>
      </c>
      <c r="F209" s="48" t="s">
        <v>77</v>
      </c>
      <c r="G209" s="37" t="s">
        <v>49</v>
      </c>
      <c r="H209" s="39" t="s">
        <v>1033</v>
      </c>
      <c r="I209" s="19"/>
      <c r="J209" s="19" t="str">
        <f t="array" ref="J209">IF($I209="","",IFERROR(INDEX(Legend!$C$41:$C$45,MATCH($I209,Legend!$B$41:$B$45,0)),""))</f>
        <v/>
      </c>
      <c r="K209" s="19"/>
    </row>
    <row r="210" ht="15.75" customHeight="1">
      <c r="A210" s="18">
        <v>206.0</v>
      </c>
      <c r="B210" s="19" t="s">
        <v>620</v>
      </c>
      <c r="C210" s="19" t="s">
        <v>1022</v>
      </c>
      <c r="D210" s="19" t="s">
        <v>1036</v>
      </c>
      <c r="E210" s="53" t="s">
        <v>42</v>
      </c>
      <c r="F210" s="31" t="s">
        <v>34</v>
      </c>
      <c r="G210" s="37" t="s">
        <v>49</v>
      </c>
      <c r="H210" s="39"/>
      <c r="I210" s="19"/>
      <c r="J210" s="19" t="str">
        <f t="array" ref="J210">IF($I210="","",IFERROR(INDEX(Legend!$C$41:$C$45,MATCH($I210,Legend!$B$41:$B$45,0)),""))</f>
        <v/>
      </c>
      <c r="K210" s="19"/>
    </row>
    <row r="211" ht="15.75" customHeight="1">
      <c r="A211" s="18">
        <v>207.0</v>
      </c>
      <c r="B211" s="19" t="s">
        <v>620</v>
      </c>
      <c r="C211" s="19" t="s">
        <v>1022</v>
      </c>
      <c r="D211" s="19" t="s">
        <v>1039</v>
      </c>
      <c r="E211" s="53" t="s">
        <v>42</v>
      </c>
      <c r="F211" s="31" t="s">
        <v>34</v>
      </c>
      <c r="G211" s="37" t="s">
        <v>49</v>
      </c>
      <c r="H211" s="39"/>
      <c r="I211" s="19"/>
      <c r="J211" s="19" t="str">
        <f t="array" ref="J211">IF($I211="","",IFERROR(INDEX(Legend!$C$41:$C$45,MATCH($I211,Legend!$B$41:$B$45,0)),""))</f>
        <v/>
      </c>
      <c r="K211" s="19"/>
    </row>
    <row r="212" ht="15.75" customHeight="1">
      <c r="A212" s="18">
        <v>208.0</v>
      </c>
      <c r="B212" s="19" t="s">
        <v>620</v>
      </c>
      <c r="C212" s="19" t="s">
        <v>1022</v>
      </c>
      <c r="D212" s="19" t="s">
        <v>1043</v>
      </c>
      <c r="E212" s="53" t="s">
        <v>42</v>
      </c>
      <c r="F212" s="31" t="s">
        <v>34</v>
      </c>
      <c r="G212" s="46" t="s">
        <v>50</v>
      </c>
      <c r="H212" s="39"/>
      <c r="I212" s="19"/>
      <c r="J212" s="19" t="str">
        <f t="array" ref="J212">IF($I212="","",IFERROR(INDEX(Legend!$C$41:$C$45,MATCH($I212,Legend!$B$41:$B$45,0)),""))</f>
        <v/>
      </c>
      <c r="K212" s="19"/>
    </row>
    <row r="213" ht="15.75" customHeight="1">
      <c r="A213" s="18">
        <v>209.0</v>
      </c>
      <c r="B213" s="19" t="s">
        <v>620</v>
      </c>
      <c r="C213" s="19" t="s">
        <v>1022</v>
      </c>
      <c r="D213" s="19" t="s">
        <v>1048</v>
      </c>
      <c r="E213" s="53" t="s">
        <v>42</v>
      </c>
      <c r="F213" s="31" t="s">
        <v>34</v>
      </c>
      <c r="G213" s="37" t="s">
        <v>49</v>
      </c>
      <c r="H213" s="39" t="s">
        <v>1049</v>
      </c>
      <c r="I213" s="19"/>
      <c r="J213" s="19" t="str">
        <f t="array" ref="J213">IF($I213="","",IFERROR(INDEX(Legend!$C$41:$C$45,MATCH($I213,Legend!$B$41:$B$45,0)),""))</f>
        <v/>
      </c>
      <c r="K213" s="19"/>
    </row>
    <row r="214" ht="15.75" customHeight="1">
      <c r="A214" s="18">
        <v>210.0</v>
      </c>
      <c r="B214" s="19" t="s">
        <v>620</v>
      </c>
      <c r="C214" s="19" t="s">
        <v>1022</v>
      </c>
      <c r="D214" s="19" t="s">
        <v>1050</v>
      </c>
      <c r="E214" s="53" t="s">
        <v>42</v>
      </c>
      <c r="F214" s="31" t="s">
        <v>34</v>
      </c>
      <c r="G214" s="46" t="s">
        <v>50</v>
      </c>
      <c r="H214" s="39"/>
      <c r="I214" s="19"/>
      <c r="J214" s="19" t="str">
        <f t="array" ref="J214">IF($I214="","",IFERROR(INDEX(Legend!$C$41:$C$45,MATCH($I214,Legend!$B$41:$B$45,0)),""))</f>
        <v/>
      </c>
      <c r="K214" s="19"/>
    </row>
    <row r="215" ht="15.75" customHeight="1">
      <c r="A215" s="18">
        <v>211.0</v>
      </c>
      <c r="B215" s="19" t="s">
        <v>620</v>
      </c>
      <c r="C215" s="19" t="s">
        <v>1022</v>
      </c>
      <c r="D215" s="19" t="s">
        <v>1053</v>
      </c>
      <c r="E215" s="53" t="s">
        <v>42</v>
      </c>
      <c r="F215" s="31" t="s">
        <v>34</v>
      </c>
      <c r="G215" s="37" t="s">
        <v>49</v>
      </c>
      <c r="H215" s="39"/>
      <c r="I215" s="19"/>
      <c r="J215" s="19" t="str">
        <f t="array" ref="J215">IF($I215="","",IFERROR(INDEX(Legend!$C$41:$C$45,MATCH($I215,Legend!$B$41:$B$45,0)),""))</f>
        <v/>
      </c>
      <c r="K215" s="19"/>
    </row>
    <row r="216" ht="15.75" customHeight="1">
      <c r="A216" s="18">
        <v>212.0</v>
      </c>
      <c r="B216" s="19" t="s">
        <v>620</v>
      </c>
      <c r="C216" s="19" t="s">
        <v>1022</v>
      </c>
      <c r="D216" s="19" t="s">
        <v>1054</v>
      </c>
      <c r="E216" s="53" t="s">
        <v>42</v>
      </c>
      <c r="F216" s="31" t="s">
        <v>34</v>
      </c>
      <c r="G216" s="46" t="s">
        <v>50</v>
      </c>
      <c r="H216" s="39" t="s">
        <v>1055</v>
      </c>
      <c r="I216" s="19"/>
      <c r="J216" s="19" t="str">
        <f t="array" ref="J216">IF($I216="","",IFERROR(INDEX(Legend!$C$41:$C$45,MATCH($I216,Legend!$B$41:$B$45,0)),""))</f>
        <v/>
      </c>
      <c r="K216" s="19"/>
    </row>
    <row r="217" ht="15.75" customHeight="1">
      <c r="A217" s="18">
        <v>213.0</v>
      </c>
      <c r="B217" s="19" t="s">
        <v>620</v>
      </c>
      <c r="C217" s="19" t="s">
        <v>1022</v>
      </c>
      <c r="D217" s="19" t="s">
        <v>1058</v>
      </c>
      <c r="E217" s="53" t="s">
        <v>42</v>
      </c>
      <c r="F217" s="31" t="s">
        <v>34</v>
      </c>
      <c r="G217" s="37" t="s">
        <v>49</v>
      </c>
      <c r="H217" s="39" t="s">
        <v>1059</v>
      </c>
      <c r="I217" s="19"/>
      <c r="J217" s="19" t="str">
        <f t="array" ref="J217">IF($I217="","",IFERROR(INDEX(Legend!$C$41:$C$45,MATCH($I217,Legend!$B$41:$B$45,0)),""))</f>
        <v/>
      </c>
      <c r="K217" s="19"/>
    </row>
    <row r="218" ht="15.75" customHeight="1">
      <c r="A218" s="18">
        <v>214.0</v>
      </c>
      <c r="B218" s="19" t="s">
        <v>620</v>
      </c>
      <c r="C218" s="19" t="s">
        <v>1022</v>
      </c>
      <c r="D218" s="19" t="s">
        <v>1060</v>
      </c>
      <c r="E218" s="53" t="s">
        <v>42</v>
      </c>
      <c r="F218" s="48" t="s">
        <v>77</v>
      </c>
      <c r="G218" s="37" t="s">
        <v>49</v>
      </c>
      <c r="H218" s="39" t="s">
        <v>1061</v>
      </c>
      <c r="I218" s="19"/>
      <c r="J218" s="19" t="str">
        <f t="array" ref="J218">IF($I218="","",IFERROR(INDEX(Legend!$C$41:$C$45,MATCH($I218,Legend!$B$41:$B$45,0)),""))</f>
        <v/>
      </c>
      <c r="K218" s="19"/>
    </row>
    <row r="219" ht="15.75" customHeight="1">
      <c r="A219" s="18">
        <v>215.0</v>
      </c>
      <c r="B219" s="19" t="s">
        <v>620</v>
      </c>
      <c r="C219" s="19" t="s">
        <v>1064</v>
      </c>
      <c r="D219" s="19" t="s">
        <v>1065</v>
      </c>
      <c r="E219" s="20" t="s">
        <v>33</v>
      </c>
      <c r="F219" s="48" t="s">
        <v>77</v>
      </c>
      <c r="G219" s="37" t="s">
        <v>49</v>
      </c>
      <c r="H219" s="39" t="s">
        <v>1066</v>
      </c>
      <c r="I219" s="19"/>
      <c r="J219" s="19" t="str">
        <f t="array" ref="J219">IF($I219="","",IFERROR(INDEX(Legend!$C$41:$C$45,MATCH($I219,Legend!$B$41:$B$45,0)),""))</f>
        <v/>
      </c>
      <c r="K219" s="19"/>
    </row>
    <row r="220" ht="15.75" customHeight="1">
      <c r="A220" s="18">
        <v>216.0</v>
      </c>
      <c r="B220" s="19" t="s">
        <v>620</v>
      </c>
      <c r="C220" s="19" t="s">
        <v>1064</v>
      </c>
      <c r="D220" s="19" t="s">
        <v>1068</v>
      </c>
      <c r="E220" s="53" t="s">
        <v>42</v>
      </c>
      <c r="F220" s="31" t="s">
        <v>34</v>
      </c>
      <c r="G220" s="37" t="s">
        <v>49</v>
      </c>
      <c r="H220" s="39" t="s">
        <v>1069</v>
      </c>
      <c r="I220" s="19"/>
      <c r="J220" s="19" t="str">
        <f t="array" ref="J220">IF($I220="","",IFERROR(INDEX(Legend!$C$41:$C$45,MATCH($I220,Legend!$B$41:$B$45,0)),""))</f>
        <v/>
      </c>
      <c r="K220" s="19"/>
    </row>
    <row r="221" ht="15.75" customHeight="1">
      <c r="A221" s="18">
        <v>217.0</v>
      </c>
      <c r="B221" s="19" t="s">
        <v>620</v>
      </c>
      <c r="C221" s="19" t="s">
        <v>1064</v>
      </c>
      <c r="D221" s="19" t="s">
        <v>1071</v>
      </c>
      <c r="E221" s="20" t="s">
        <v>33</v>
      </c>
      <c r="F221" s="31" t="s">
        <v>34</v>
      </c>
      <c r="G221" s="37" t="s">
        <v>49</v>
      </c>
      <c r="H221" s="39"/>
      <c r="I221" s="19"/>
      <c r="J221" s="19" t="str">
        <f t="array" ref="J221">IF($I221="","",IFERROR(INDEX(Legend!$C$41:$C$45,MATCH($I221,Legend!$B$41:$B$45,0)),""))</f>
        <v/>
      </c>
      <c r="K221" s="19"/>
    </row>
    <row r="222" ht="15.75" customHeight="1">
      <c r="A222" s="18">
        <v>218.0</v>
      </c>
      <c r="B222" s="19" t="s">
        <v>620</v>
      </c>
      <c r="C222" s="19" t="s">
        <v>1064</v>
      </c>
      <c r="D222" s="19" t="s">
        <v>1073</v>
      </c>
      <c r="E222" s="53" t="s">
        <v>42</v>
      </c>
      <c r="F222" s="48" t="s">
        <v>77</v>
      </c>
      <c r="G222" s="37" t="s">
        <v>49</v>
      </c>
      <c r="H222" s="39" t="s">
        <v>1075</v>
      </c>
      <c r="I222" s="19"/>
      <c r="J222" s="19" t="str">
        <f t="array" ref="J222">IF($I222="","",IFERROR(INDEX(Legend!$C$41:$C$45,MATCH($I222,Legend!$B$41:$B$45,0)),""))</f>
        <v/>
      </c>
      <c r="K222" s="19"/>
    </row>
    <row r="223" ht="15.75" customHeight="1">
      <c r="A223" s="18">
        <v>219.0</v>
      </c>
      <c r="B223" s="19" t="s">
        <v>620</v>
      </c>
      <c r="C223" s="19" t="s">
        <v>1064</v>
      </c>
      <c r="D223" s="19" t="s">
        <v>1076</v>
      </c>
      <c r="E223" s="53" t="s">
        <v>42</v>
      </c>
      <c r="F223" s="31" t="s">
        <v>34</v>
      </c>
      <c r="G223" s="37" t="s">
        <v>49</v>
      </c>
      <c r="H223" s="39"/>
      <c r="I223" s="19"/>
      <c r="J223" s="19" t="str">
        <f t="array" ref="J223">IF($I223="","",IFERROR(INDEX(Legend!$C$41:$C$45,MATCH($I223,Legend!$B$41:$B$45,0)),""))</f>
        <v/>
      </c>
      <c r="K223" s="19"/>
    </row>
    <row r="224" ht="15.75" customHeight="1">
      <c r="A224" s="18">
        <v>220.0</v>
      </c>
      <c r="B224" s="19" t="s">
        <v>620</v>
      </c>
      <c r="C224" s="19" t="s">
        <v>1064</v>
      </c>
      <c r="D224" s="19" t="s">
        <v>1077</v>
      </c>
      <c r="E224" s="53" t="s">
        <v>42</v>
      </c>
      <c r="F224" s="48" t="s">
        <v>77</v>
      </c>
      <c r="G224" s="37" t="s">
        <v>49</v>
      </c>
      <c r="H224" s="39" t="s">
        <v>1078</v>
      </c>
      <c r="I224" s="19"/>
      <c r="J224" s="19" t="str">
        <f t="array" ref="J224">IF($I224="","",IFERROR(INDEX(Legend!$C$41:$C$45,MATCH($I224,Legend!$B$41:$B$45,0)),""))</f>
        <v/>
      </c>
      <c r="K224" s="19"/>
    </row>
    <row r="225" ht="15.75" customHeight="1">
      <c r="A225" s="18">
        <v>221.0</v>
      </c>
      <c r="B225" s="19" t="s">
        <v>620</v>
      </c>
      <c r="C225" s="19" t="s">
        <v>1064</v>
      </c>
      <c r="D225" s="19" t="s">
        <v>1081</v>
      </c>
      <c r="E225" s="53" t="s">
        <v>42</v>
      </c>
      <c r="F225" s="31" t="s">
        <v>34</v>
      </c>
      <c r="G225" s="46" t="s">
        <v>50</v>
      </c>
      <c r="H225" s="39"/>
      <c r="I225" s="19"/>
      <c r="J225" s="19" t="str">
        <f t="array" ref="J225">IF($I225="","",IFERROR(INDEX(Legend!$C$41:$C$45,MATCH($I225,Legend!$B$41:$B$45,0)),""))</f>
        <v/>
      </c>
      <c r="K225" s="19"/>
    </row>
    <row r="226" ht="15.75" customHeight="1">
      <c r="A226" s="18">
        <v>222.0</v>
      </c>
      <c r="B226" s="19" t="s">
        <v>620</v>
      </c>
      <c r="C226" s="19" t="s">
        <v>1082</v>
      </c>
      <c r="D226" s="19" t="s">
        <v>1083</v>
      </c>
      <c r="E226" s="20" t="s">
        <v>33</v>
      </c>
      <c r="F226" s="31" t="s">
        <v>34</v>
      </c>
      <c r="G226" s="37" t="s">
        <v>49</v>
      </c>
      <c r="H226" s="39"/>
      <c r="I226" s="19"/>
      <c r="J226" s="19" t="str">
        <f t="array" ref="J226">IF($I226="","",IFERROR(INDEX(Legend!$C$41:$C$45,MATCH($I226,Legend!$B$41:$B$45,0)),""))</f>
        <v/>
      </c>
      <c r="K226" s="19"/>
    </row>
    <row r="227" ht="15.75" customHeight="1">
      <c r="A227" s="18">
        <v>223.0</v>
      </c>
      <c r="B227" s="19" t="s">
        <v>620</v>
      </c>
      <c r="C227" s="19" t="s">
        <v>1082</v>
      </c>
      <c r="D227" s="19" t="s">
        <v>1086</v>
      </c>
      <c r="E227" s="53" t="s">
        <v>42</v>
      </c>
      <c r="F227" s="48" t="s">
        <v>77</v>
      </c>
      <c r="G227" s="37" t="s">
        <v>49</v>
      </c>
      <c r="H227" s="39" t="s">
        <v>1087</v>
      </c>
      <c r="I227" s="19"/>
      <c r="J227" s="19" t="str">
        <f t="array" ref="J227">IF($I227="","",IFERROR(INDEX(Legend!$C$41:$C$45,MATCH($I227,Legend!$B$41:$B$45,0)),""))</f>
        <v/>
      </c>
      <c r="K227" s="19"/>
    </row>
    <row r="228" ht="15.75" customHeight="1">
      <c r="A228" s="18">
        <v>224.0</v>
      </c>
      <c r="B228" s="19" t="s">
        <v>620</v>
      </c>
      <c r="C228" s="19" t="s">
        <v>1082</v>
      </c>
      <c r="D228" s="19" t="s">
        <v>1088</v>
      </c>
      <c r="E228" s="20" t="s">
        <v>33</v>
      </c>
      <c r="F228" s="31" t="s">
        <v>34</v>
      </c>
      <c r="G228" s="37" t="s">
        <v>49</v>
      </c>
      <c r="H228" s="39"/>
      <c r="I228" s="19"/>
      <c r="J228" s="19" t="str">
        <f t="array" ref="J228">IF($I228="","",IFERROR(INDEX(Legend!$C$41:$C$45,MATCH($I228,Legend!$B$41:$B$45,0)),""))</f>
        <v/>
      </c>
      <c r="K228" s="19"/>
    </row>
    <row r="229" ht="15.75" customHeight="1">
      <c r="A229" s="18">
        <v>225.0</v>
      </c>
      <c r="B229" s="19" t="s">
        <v>620</v>
      </c>
      <c r="C229" s="19" t="s">
        <v>1082</v>
      </c>
      <c r="D229" s="19" t="s">
        <v>1091</v>
      </c>
      <c r="E229" s="53" t="s">
        <v>42</v>
      </c>
      <c r="F229" s="31" t="s">
        <v>34</v>
      </c>
      <c r="G229" s="46" t="s">
        <v>50</v>
      </c>
      <c r="H229" s="39"/>
      <c r="I229" s="19"/>
      <c r="J229" s="19" t="str">
        <f t="array" ref="J229">IF($I229="","",IFERROR(INDEX(Legend!$C$41:$C$45,MATCH($I229,Legend!$B$41:$B$45,0)),""))</f>
        <v/>
      </c>
      <c r="K229" s="19"/>
    </row>
    <row r="230" ht="15.75" customHeight="1">
      <c r="A230" s="18">
        <v>226.0</v>
      </c>
      <c r="B230" s="19" t="s">
        <v>620</v>
      </c>
      <c r="C230" s="19" t="s">
        <v>1082</v>
      </c>
      <c r="D230" s="19" t="s">
        <v>1092</v>
      </c>
      <c r="E230" s="53" t="s">
        <v>42</v>
      </c>
      <c r="F230" s="48" t="s">
        <v>77</v>
      </c>
      <c r="G230" s="37" t="s">
        <v>49</v>
      </c>
      <c r="H230" s="39" t="s">
        <v>1093</v>
      </c>
      <c r="I230" s="19"/>
      <c r="J230" s="19" t="str">
        <f t="array" ref="J230">IF($I230="","",IFERROR(INDEX(Legend!$C$41:$C$45,MATCH($I230,Legend!$B$41:$B$45,0)),""))</f>
        <v/>
      </c>
      <c r="K230" s="19"/>
    </row>
    <row r="231" ht="15.75" customHeight="1">
      <c r="A231" s="18">
        <v>227.0</v>
      </c>
      <c r="B231" s="19" t="s">
        <v>620</v>
      </c>
      <c r="C231" s="19" t="s">
        <v>1082</v>
      </c>
      <c r="D231" s="19" t="s">
        <v>1096</v>
      </c>
      <c r="E231" s="53" t="s">
        <v>42</v>
      </c>
      <c r="F231" s="31" t="s">
        <v>34</v>
      </c>
      <c r="G231" s="37" t="s">
        <v>49</v>
      </c>
      <c r="H231" s="39" t="s">
        <v>1097</v>
      </c>
      <c r="I231" s="19"/>
      <c r="J231" s="19" t="str">
        <f t="array" ref="J231">IF($I231="","",IFERROR(INDEX(Legend!$C$41:$C$45,MATCH($I231,Legend!$B$41:$B$45,0)),""))</f>
        <v/>
      </c>
      <c r="K231" s="19"/>
    </row>
    <row r="232" ht="15.75" customHeight="1">
      <c r="A232" s="18">
        <v>228.0</v>
      </c>
      <c r="B232" s="19" t="s">
        <v>620</v>
      </c>
      <c r="C232" s="19" t="s">
        <v>1082</v>
      </c>
      <c r="D232" s="19" t="s">
        <v>890</v>
      </c>
      <c r="E232" s="53" t="s">
        <v>42</v>
      </c>
      <c r="F232" s="31" t="s">
        <v>34</v>
      </c>
      <c r="G232" s="37" t="s">
        <v>49</v>
      </c>
      <c r="H232" s="39"/>
      <c r="I232" s="19"/>
      <c r="J232" s="19" t="str">
        <f t="array" ref="J232">IF($I232="","",IFERROR(INDEX(Legend!$C$41:$C$45,MATCH($I232,Legend!$B$41:$B$45,0)),""))</f>
        <v/>
      </c>
      <c r="K232" s="19"/>
    </row>
    <row r="233" ht="15.75" customHeight="1">
      <c r="A233" s="18">
        <v>229.0</v>
      </c>
      <c r="B233" s="19" t="s">
        <v>620</v>
      </c>
      <c r="C233" s="19" t="s">
        <v>1082</v>
      </c>
      <c r="D233" s="19" t="s">
        <v>1100</v>
      </c>
      <c r="E233" s="53" t="s">
        <v>42</v>
      </c>
      <c r="F233" s="48" t="s">
        <v>77</v>
      </c>
      <c r="G233" s="46" t="s">
        <v>50</v>
      </c>
      <c r="H233" s="39" t="s">
        <v>1101</v>
      </c>
      <c r="I233" s="19"/>
      <c r="J233" s="19" t="str">
        <f t="array" ref="J233">IF($I233="","",IFERROR(INDEX(Legend!$C$41:$C$45,MATCH($I233,Legend!$B$41:$B$45,0)),""))</f>
        <v/>
      </c>
      <c r="K233" s="19"/>
    </row>
    <row r="234" ht="15.75" customHeight="1">
      <c r="A234" s="18">
        <v>230.0</v>
      </c>
      <c r="B234" s="19" t="s">
        <v>620</v>
      </c>
      <c r="C234" s="19" t="s">
        <v>1082</v>
      </c>
      <c r="D234" s="19" t="s">
        <v>1102</v>
      </c>
      <c r="E234" s="53" t="s">
        <v>42</v>
      </c>
      <c r="F234" s="54" t="s">
        <v>46</v>
      </c>
      <c r="G234" s="61" t="s">
        <v>47</v>
      </c>
      <c r="H234" s="39"/>
      <c r="I234" s="19"/>
      <c r="J234" s="19" t="str">
        <f t="array" ref="J234">IF($I234="","",IFERROR(INDEX(Legend!$C$41:$C$45,MATCH($I234,Legend!$B$41:$B$45,0)),""))</f>
        <v/>
      </c>
      <c r="K234" s="19"/>
    </row>
    <row r="235" ht="15.75" customHeight="1">
      <c r="A235" s="18">
        <v>231.0</v>
      </c>
      <c r="B235" s="19" t="s">
        <v>620</v>
      </c>
      <c r="C235" s="19" t="s">
        <v>1082</v>
      </c>
      <c r="D235" s="19" t="s">
        <v>1104</v>
      </c>
      <c r="E235" s="53" t="s">
        <v>42</v>
      </c>
      <c r="F235" s="31" t="s">
        <v>34</v>
      </c>
      <c r="G235" s="37" t="s">
        <v>49</v>
      </c>
      <c r="H235" s="39" t="s">
        <v>1105</v>
      </c>
      <c r="I235" s="19"/>
      <c r="J235" s="19" t="str">
        <f t="array" ref="J235">IF($I235="","",IFERROR(INDEX(Legend!$C$41:$C$45,MATCH($I235,Legend!$B$41:$B$45,0)),""))</f>
        <v/>
      </c>
      <c r="K235" s="19"/>
    </row>
    <row r="236" ht="15.75" customHeight="1">
      <c r="A236" s="18">
        <v>232.0</v>
      </c>
      <c r="B236" s="19" t="s">
        <v>620</v>
      </c>
      <c r="C236" s="19" t="s">
        <v>1082</v>
      </c>
      <c r="D236" s="19" t="s">
        <v>67</v>
      </c>
      <c r="E236" s="48" t="s">
        <v>43</v>
      </c>
      <c r="F236" s="54" t="s">
        <v>46</v>
      </c>
      <c r="G236" s="61" t="s">
        <v>47</v>
      </c>
      <c r="H236" s="39" t="s">
        <v>488</v>
      </c>
      <c r="I236" s="19"/>
      <c r="J236" s="19" t="str">
        <f t="array" ref="J236">IF($I236="","",IFERROR(INDEX(Legend!$C$41:$C$45,MATCH($I236,Legend!$B$41:$B$45,0)),""))</f>
        <v/>
      </c>
      <c r="K236" s="19"/>
    </row>
    <row r="237" ht="15.75" customHeight="1">
      <c r="A237" s="18">
        <v>233.0</v>
      </c>
      <c r="B237" s="19" t="s">
        <v>620</v>
      </c>
      <c r="C237" s="19" t="s">
        <v>1082</v>
      </c>
      <c r="D237" s="19" t="s">
        <v>1108</v>
      </c>
      <c r="E237" s="53" t="s">
        <v>42</v>
      </c>
      <c r="F237" s="31" t="s">
        <v>34</v>
      </c>
      <c r="G237" s="46" t="s">
        <v>50</v>
      </c>
      <c r="H237" s="39" t="s">
        <v>1109</v>
      </c>
      <c r="I237" s="19"/>
      <c r="J237" s="19" t="str">
        <f t="array" ref="J237">IF($I237="","",IFERROR(INDEX(Legend!$C$41:$C$45,MATCH($I237,Legend!$B$41:$B$45,0)),""))</f>
        <v/>
      </c>
      <c r="K237" s="19"/>
    </row>
    <row r="238" ht="15.75" customHeight="1">
      <c r="A238" s="18">
        <v>234.0</v>
      </c>
      <c r="B238" s="19" t="s">
        <v>620</v>
      </c>
      <c r="C238" s="19" t="s">
        <v>1082</v>
      </c>
      <c r="D238" s="19" t="s">
        <v>1110</v>
      </c>
      <c r="E238" s="53" t="s">
        <v>42</v>
      </c>
      <c r="F238" s="31" t="s">
        <v>34</v>
      </c>
      <c r="G238" s="46" t="s">
        <v>50</v>
      </c>
      <c r="H238" s="39"/>
      <c r="I238" s="19"/>
      <c r="J238" s="19" t="str">
        <f t="array" ref="J238">IF($I238="","",IFERROR(INDEX(Legend!$C$41:$C$45,MATCH($I238,Legend!$B$41:$B$45,0)),""))</f>
        <v/>
      </c>
      <c r="K238" s="19"/>
    </row>
    <row r="239" ht="15.75" customHeight="1">
      <c r="A239" s="18">
        <v>235.0</v>
      </c>
      <c r="B239" s="19" t="s">
        <v>620</v>
      </c>
      <c r="C239" s="19" t="s">
        <v>1082</v>
      </c>
      <c r="D239" s="19" t="s">
        <v>1112</v>
      </c>
      <c r="E239" s="53" t="s">
        <v>42</v>
      </c>
      <c r="F239" s="31" t="s">
        <v>34</v>
      </c>
      <c r="G239" s="37" t="s">
        <v>49</v>
      </c>
      <c r="H239" s="39" t="s">
        <v>1113</v>
      </c>
      <c r="I239" s="19"/>
      <c r="J239" s="19" t="str">
        <f t="array" ref="J239">IF($I239="","",IFERROR(INDEX(Legend!$C$41:$C$45,MATCH($I239,Legend!$B$41:$B$45,0)),""))</f>
        <v/>
      </c>
      <c r="K239" s="19"/>
    </row>
    <row r="240" ht="15.75" customHeight="1">
      <c r="A240" s="18">
        <v>236.0</v>
      </c>
      <c r="B240" s="19" t="s">
        <v>620</v>
      </c>
      <c r="C240" s="19" t="s">
        <v>1114</v>
      </c>
      <c r="D240" s="19" t="s">
        <v>1115</v>
      </c>
      <c r="E240" s="53" t="s">
        <v>42</v>
      </c>
      <c r="F240" s="31" t="s">
        <v>34</v>
      </c>
      <c r="G240" s="37" t="s">
        <v>49</v>
      </c>
      <c r="H240" s="39"/>
      <c r="I240" s="19"/>
      <c r="J240" s="19" t="str">
        <f t="array" ref="J240">IF($I240="","",IFERROR(INDEX(Legend!$C$41:$C$45,MATCH($I240,Legend!$B$41:$B$45,0)),""))</f>
        <v/>
      </c>
      <c r="K240" s="19"/>
    </row>
    <row r="241" ht="15.75" customHeight="1">
      <c r="A241" s="18">
        <v>237.0</v>
      </c>
      <c r="B241" s="19" t="s">
        <v>620</v>
      </c>
      <c r="C241" s="19" t="s">
        <v>1114</v>
      </c>
      <c r="D241" s="19" t="s">
        <v>1117</v>
      </c>
      <c r="E241" s="53" t="s">
        <v>42</v>
      </c>
      <c r="F241" s="31" t="s">
        <v>34</v>
      </c>
      <c r="G241" s="37" t="s">
        <v>49</v>
      </c>
      <c r="H241" s="39"/>
      <c r="I241" s="19"/>
      <c r="J241" s="19" t="str">
        <f t="array" ref="J241">IF($I241="","",IFERROR(INDEX(Legend!$C$41:$C$45,MATCH($I241,Legend!$B$41:$B$45,0)),""))</f>
        <v/>
      </c>
      <c r="K241" s="19"/>
    </row>
    <row r="242" ht="15.75" customHeight="1">
      <c r="A242" s="18">
        <v>238.0</v>
      </c>
      <c r="B242" s="19" t="s">
        <v>620</v>
      </c>
      <c r="C242" s="19" t="s">
        <v>1114</v>
      </c>
      <c r="D242" s="19" t="s">
        <v>1118</v>
      </c>
      <c r="E242" s="53" t="s">
        <v>42</v>
      </c>
      <c r="F242" s="31" t="s">
        <v>34</v>
      </c>
      <c r="G242" s="37" t="s">
        <v>49</v>
      </c>
      <c r="H242" s="39" t="s">
        <v>1119</v>
      </c>
      <c r="I242" s="19"/>
      <c r="J242" s="19" t="str">
        <f t="array" ref="J242">IF($I242="","",IFERROR(INDEX(Legend!$C$41:$C$45,MATCH($I242,Legend!$B$41:$B$45,0)),""))</f>
        <v/>
      </c>
      <c r="K242" s="19"/>
    </row>
    <row r="243" ht="15.75" customHeight="1">
      <c r="A243" s="18">
        <v>239.0</v>
      </c>
      <c r="B243" s="19" t="s">
        <v>620</v>
      </c>
      <c r="C243" s="19" t="s">
        <v>1114</v>
      </c>
      <c r="D243" s="19" t="s">
        <v>1121</v>
      </c>
      <c r="E243" s="53" t="s">
        <v>42</v>
      </c>
      <c r="F243" s="31" t="s">
        <v>34</v>
      </c>
      <c r="G243" s="37" t="s">
        <v>49</v>
      </c>
      <c r="H243" s="39" t="s">
        <v>1122</v>
      </c>
      <c r="I243" s="19"/>
      <c r="J243" s="19" t="str">
        <f t="array" ref="J243">IF($I243="","",IFERROR(INDEX(Legend!$C$41:$C$45,MATCH($I243,Legend!$B$41:$B$45,0)),""))</f>
        <v/>
      </c>
      <c r="K243" s="19"/>
    </row>
    <row r="244" ht="15.75" customHeight="1">
      <c r="A244" s="18">
        <v>240.0</v>
      </c>
      <c r="B244" s="19" t="s">
        <v>620</v>
      </c>
      <c r="C244" s="19" t="s">
        <v>1114</v>
      </c>
      <c r="D244" s="19" t="s">
        <v>1124</v>
      </c>
      <c r="E244" s="53" t="s">
        <v>42</v>
      </c>
      <c r="F244" s="31" t="s">
        <v>34</v>
      </c>
      <c r="G244" s="37" t="s">
        <v>49</v>
      </c>
      <c r="H244" s="39" t="s">
        <v>1125</v>
      </c>
      <c r="I244" s="19"/>
      <c r="J244" s="19" t="str">
        <f t="array" ref="J244">IF($I244="","",IFERROR(INDEX(Legend!$C$41:$C$45,MATCH($I244,Legend!$B$41:$B$45,0)),""))</f>
        <v/>
      </c>
      <c r="K244" s="19"/>
    </row>
    <row r="245" ht="15.75" customHeight="1">
      <c r="A245" s="18">
        <v>241.0</v>
      </c>
      <c r="B245" s="19" t="s">
        <v>620</v>
      </c>
      <c r="C245" s="19" t="s">
        <v>1114</v>
      </c>
      <c r="D245" s="19" t="s">
        <v>1126</v>
      </c>
      <c r="E245" s="53" t="s">
        <v>42</v>
      </c>
      <c r="F245" s="31" t="s">
        <v>34</v>
      </c>
      <c r="G245" s="46" t="s">
        <v>50</v>
      </c>
      <c r="H245" s="39"/>
      <c r="I245" s="19"/>
      <c r="J245" s="19" t="str">
        <f t="array" ref="J245">IF($I245="","",IFERROR(INDEX(Legend!$C$41:$C$45,MATCH($I245,Legend!$B$41:$B$45,0)),""))</f>
        <v/>
      </c>
      <c r="K245" s="19"/>
    </row>
    <row r="246" ht="15.75" customHeight="1">
      <c r="A246" s="18">
        <v>242.0</v>
      </c>
      <c r="B246" s="19" t="s">
        <v>620</v>
      </c>
      <c r="C246" s="19" t="s">
        <v>1114</v>
      </c>
      <c r="D246" s="19" t="s">
        <v>41</v>
      </c>
      <c r="E246" s="48" t="s">
        <v>43</v>
      </c>
      <c r="F246" s="54" t="s">
        <v>46</v>
      </c>
      <c r="G246" s="61" t="s">
        <v>47</v>
      </c>
      <c r="H246" s="39" t="s">
        <v>488</v>
      </c>
      <c r="I246" s="19"/>
      <c r="J246" s="19" t="str">
        <f t="array" ref="J246">IF($I246="","",IFERROR(INDEX(Legend!$C$41:$C$45,MATCH($I246,Legend!$B$41:$B$45,0)),""))</f>
        <v/>
      </c>
      <c r="K246" s="19"/>
    </row>
    <row r="247" ht="15.75" customHeight="1">
      <c r="A247" s="18">
        <v>243.0</v>
      </c>
      <c r="B247" s="19" t="s">
        <v>620</v>
      </c>
      <c r="C247" s="19" t="s">
        <v>1129</v>
      </c>
      <c r="D247" s="19" t="s">
        <v>1130</v>
      </c>
      <c r="E247" s="20" t="s">
        <v>33</v>
      </c>
      <c r="F247" s="31" t="s">
        <v>34</v>
      </c>
      <c r="G247" s="37" t="s">
        <v>49</v>
      </c>
      <c r="H247" s="39"/>
      <c r="I247" s="19"/>
      <c r="J247" s="19" t="str">
        <f t="array" ref="J247">IF($I247="","",IFERROR(INDEX(Legend!$C$41:$C$45,MATCH($I247,Legend!$B$41:$B$45,0)),""))</f>
        <v/>
      </c>
      <c r="K247" s="19"/>
    </row>
    <row r="248" ht="15.75" customHeight="1">
      <c r="A248" s="18">
        <v>244.0</v>
      </c>
      <c r="B248" s="19" t="s">
        <v>620</v>
      </c>
      <c r="C248" s="19" t="s">
        <v>1129</v>
      </c>
      <c r="D248" s="19" t="s">
        <v>1132</v>
      </c>
      <c r="E248" s="53" t="s">
        <v>42</v>
      </c>
      <c r="F248" s="31" t="s">
        <v>34</v>
      </c>
      <c r="G248" s="46" t="s">
        <v>50</v>
      </c>
      <c r="H248" s="39" t="s">
        <v>1133</v>
      </c>
      <c r="I248" s="19"/>
      <c r="J248" s="19" t="str">
        <f t="array" ref="J248">IF($I248="","",IFERROR(INDEX(Legend!$C$41:$C$45,MATCH($I248,Legend!$B$41:$B$45,0)),""))</f>
        <v/>
      </c>
      <c r="K248" s="19"/>
    </row>
    <row r="249" ht="15.75" customHeight="1">
      <c r="A249" s="18">
        <v>245.0</v>
      </c>
      <c r="B249" s="19" t="s">
        <v>620</v>
      </c>
      <c r="C249" s="19" t="s">
        <v>1129</v>
      </c>
      <c r="D249" s="19" t="s">
        <v>1134</v>
      </c>
      <c r="E249" s="53" t="s">
        <v>42</v>
      </c>
      <c r="F249" s="31" t="s">
        <v>34</v>
      </c>
      <c r="G249" s="46" t="s">
        <v>50</v>
      </c>
      <c r="H249" s="39"/>
      <c r="I249" s="19"/>
      <c r="J249" s="19" t="str">
        <f t="array" ref="J249">IF($I249="","",IFERROR(INDEX(Legend!$C$41:$C$45,MATCH($I249,Legend!$B$41:$B$45,0)),""))</f>
        <v/>
      </c>
      <c r="K249" s="19"/>
    </row>
    <row r="250" ht="15.75" customHeight="1">
      <c r="A250" s="18">
        <v>246.0</v>
      </c>
      <c r="B250" s="19" t="s">
        <v>620</v>
      </c>
      <c r="C250" s="19" t="s">
        <v>1129</v>
      </c>
      <c r="D250" s="19" t="s">
        <v>1136</v>
      </c>
      <c r="E250" s="53" t="s">
        <v>42</v>
      </c>
      <c r="F250" s="31" t="s">
        <v>34</v>
      </c>
      <c r="G250" s="37" t="s">
        <v>49</v>
      </c>
      <c r="H250" s="39"/>
      <c r="I250" s="19"/>
      <c r="J250" s="19" t="str">
        <f t="array" ref="J250">IF($I250="","",IFERROR(INDEX(Legend!$C$41:$C$45,MATCH($I250,Legend!$B$41:$B$45,0)),""))</f>
        <v/>
      </c>
      <c r="K250" s="19"/>
    </row>
    <row r="251" ht="15.75" customHeight="1">
      <c r="A251" s="18">
        <v>247.0</v>
      </c>
      <c r="B251" s="19" t="s">
        <v>620</v>
      </c>
      <c r="C251" s="19" t="s">
        <v>1129</v>
      </c>
      <c r="D251" s="19" t="s">
        <v>1137</v>
      </c>
      <c r="E251" s="53" t="s">
        <v>42</v>
      </c>
      <c r="F251" s="48" t="s">
        <v>77</v>
      </c>
      <c r="G251" s="46" t="s">
        <v>50</v>
      </c>
      <c r="H251" s="39" t="s">
        <v>1138</v>
      </c>
      <c r="I251" s="19"/>
      <c r="J251" s="19" t="str">
        <f t="array" ref="J251">IF($I251="","",IFERROR(INDEX(Legend!$C$41:$C$45,MATCH($I251,Legend!$B$41:$B$45,0)),""))</f>
        <v/>
      </c>
      <c r="K251" s="19"/>
    </row>
    <row r="252" ht="15.75" customHeight="1">
      <c r="A252" s="18">
        <v>248.0</v>
      </c>
      <c r="B252" s="19" t="s">
        <v>620</v>
      </c>
      <c r="C252" s="19" t="s">
        <v>1129</v>
      </c>
      <c r="D252" s="19" t="s">
        <v>1140</v>
      </c>
      <c r="E252" s="20" t="s">
        <v>33</v>
      </c>
      <c r="F252" s="31" t="s">
        <v>34</v>
      </c>
      <c r="G252" s="37" t="s">
        <v>49</v>
      </c>
      <c r="H252" s="39"/>
      <c r="I252" s="19"/>
      <c r="J252" s="19" t="str">
        <f t="array" ref="J252">IF($I252="","",IFERROR(INDEX(Legend!$C$41:$C$45,MATCH($I252,Legend!$B$41:$B$45,0)),""))</f>
        <v/>
      </c>
      <c r="K252" s="19"/>
    </row>
    <row r="253" ht="15.75" customHeight="1">
      <c r="A253" s="18">
        <v>249.0</v>
      </c>
      <c r="B253" s="19" t="s">
        <v>620</v>
      </c>
      <c r="C253" s="19" t="s">
        <v>1129</v>
      </c>
      <c r="D253" s="19" t="s">
        <v>1141</v>
      </c>
      <c r="E253" s="53" t="s">
        <v>42</v>
      </c>
      <c r="F253" s="31" t="s">
        <v>34</v>
      </c>
      <c r="G253" s="46" t="s">
        <v>50</v>
      </c>
      <c r="H253" s="39"/>
      <c r="I253" s="19"/>
      <c r="J253" s="19" t="str">
        <f t="array" ref="J253">IF($I253="","",IFERROR(INDEX(Legend!$C$41:$C$45,MATCH($I253,Legend!$B$41:$B$45,0)),""))</f>
        <v/>
      </c>
      <c r="K253" s="19"/>
    </row>
    <row r="254" ht="15.75" customHeight="1">
      <c r="A254" s="18">
        <v>250.0</v>
      </c>
      <c r="B254" s="19" t="s">
        <v>620</v>
      </c>
      <c r="C254" s="19" t="s">
        <v>1129</v>
      </c>
      <c r="D254" s="19" t="s">
        <v>1143</v>
      </c>
      <c r="E254" s="53" t="s">
        <v>42</v>
      </c>
      <c r="F254" s="48" t="s">
        <v>77</v>
      </c>
      <c r="G254" s="37" t="s">
        <v>49</v>
      </c>
      <c r="H254" s="39" t="s">
        <v>1144</v>
      </c>
      <c r="I254" s="19"/>
      <c r="J254" s="19" t="str">
        <f t="array" ref="J254">IF($I254="","",IFERROR(INDEX(Legend!$C$41:$C$45,MATCH($I254,Legend!$B$41:$B$45,0)),""))</f>
        <v/>
      </c>
      <c r="K254" s="19"/>
    </row>
    <row r="255" ht="15.75" customHeight="1">
      <c r="A255" s="18">
        <v>251.0</v>
      </c>
      <c r="B255" s="19" t="s">
        <v>620</v>
      </c>
      <c r="C255" s="19" t="s">
        <v>1129</v>
      </c>
      <c r="D255" s="19" t="s">
        <v>1145</v>
      </c>
      <c r="E255" s="53" t="s">
        <v>42</v>
      </c>
      <c r="F255" s="48" t="s">
        <v>77</v>
      </c>
      <c r="G255" s="37" t="s">
        <v>49</v>
      </c>
      <c r="H255" s="39"/>
      <c r="I255" s="19"/>
      <c r="J255" s="19" t="str">
        <f t="array" ref="J255">IF($I255="","",IFERROR(INDEX(Legend!$C$41:$C$45,MATCH($I255,Legend!$B$41:$B$45,0)),""))</f>
        <v/>
      </c>
      <c r="K255" s="19"/>
    </row>
    <row r="256" ht="15.75" customHeight="1">
      <c r="A256" s="18">
        <v>252.0</v>
      </c>
      <c r="B256" s="19" t="s">
        <v>620</v>
      </c>
      <c r="C256" s="19" t="s">
        <v>1129</v>
      </c>
      <c r="D256" s="19" t="s">
        <v>1148</v>
      </c>
      <c r="E256" s="53" t="s">
        <v>42</v>
      </c>
      <c r="F256" s="31" t="s">
        <v>34</v>
      </c>
      <c r="G256" s="46" t="s">
        <v>50</v>
      </c>
      <c r="H256" s="39"/>
      <c r="I256" s="19"/>
      <c r="J256" s="19" t="str">
        <f t="array" ref="J256">IF($I256="","",IFERROR(INDEX(Legend!$C$41:$C$45,MATCH($I256,Legend!$B$41:$B$45,0)),""))</f>
        <v/>
      </c>
      <c r="K256" s="19"/>
    </row>
    <row r="257" ht="15.75" customHeight="1">
      <c r="A257" s="18">
        <v>253.0</v>
      </c>
      <c r="B257" s="19" t="s">
        <v>620</v>
      </c>
      <c r="C257" s="19" t="s">
        <v>1129</v>
      </c>
      <c r="D257" s="19" t="s">
        <v>1149</v>
      </c>
      <c r="E257" s="53" t="s">
        <v>42</v>
      </c>
      <c r="F257" s="31" t="s">
        <v>34</v>
      </c>
      <c r="G257" s="37" t="s">
        <v>49</v>
      </c>
      <c r="H257" s="39"/>
      <c r="I257" s="19"/>
      <c r="J257" s="19" t="str">
        <f t="array" ref="J257">IF($I257="","",IFERROR(INDEX(Legend!$C$41:$C$45,MATCH($I257,Legend!$B$41:$B$45,0)),""))</f>
        <v/>
      </c>
      <c r="K257" s="19"/>
    </row>
    <row r="258" ht="15.75" customHeight="1">
      <c r="A258" s="18">
        <v>254.0</v>
      </c>
      <c r="B258" s="19" t="s">
        <v>620</v>
      </c>
      <c r="C258" s="19" t="s">
        <v>1129</v>
      </c>
      <c r="D258" s="19" t="s">
        <v>1151</v>
      </c>
      <c r="E258" s="53" t="s">
        <v>42</v>
      </c>
      <c r="F258" s="31" t="s">
        <v>34</v>
      </c>
      <c r="G258" s="46" t="s">
        <v>50</v>
      </c>
      <c r="H258" s="39"/>
      <c r="I258" s="19"/>
      <c r="J258" s="19" t="str">
        <f t="array" ref="J258">IF($I258="","",IFERROR(INDEX(Legend!$C$41:$C$45,MATCH($I258,Legend!$B$41:$B$45,0)),""))</f>
        <v/>
      </c>
      <c r="K258" s="19"/>
    </row>
    <row r="259" ht="15.75" customHeight="1">
      <c r="A259" s="18">
        <v>255.0</v>
      </c>
      <c r="B259" s="19" t="s">
        <v>620</v>
      </c>
      <c r="C259" s="19" t="s">
        <v>1129</v>
      </c>
      <c r="D259" s="19" t="s">
        <v>149</v>
      </c>
      <c r="E259" s="48" t="s">
        <v>43</v>
      </c>
      <c r="F259" s="54" t="s">
        <v>46</v>
      </c>
      <c r="G259" s="61" t="s">
        <v>47</v>
      </c>
      <c r="H259" s="39" t="s">
        <v>488</v>
      </c>
      <c r="I259" s="19"/>
      <c r="J259" s="19" t="str">
        <f t="array" ref="J259">IF($I259="","",IFERROR(INDEX(Legend!$C$41:$C$45,MATCH($I259,Legend!$B$41:$B$45,0)),""))</f>
        <v/>
      </c>
      <c r="K259" s="19"/>
    </row>
    <row r="260" ht="15.75" customHeight="1">
      <c r="A260" s="18">
        <v>256.0</v>
      </c>
      <c r="B260" s="19" t="s">
        <v>620</v>
      </c>
      <c r="C260" s="19" t="s">
        <v>1129</v>
      </c>
      <c r="D260" s="19" t="s">
        <v>1153</v>
      </c>
      <c r="E260" s="53" t="s">
        <v>42</v>
      </c>
      <c r="F260" s="54" t="s">
        <v>46</v>
      </c>
      <c r="G260" s="61" t="s">
        <v>47</v>
      </c>
      <c r="H260" s="39"/>
      <c r="I260" s="19"/>
      <c r="J260" s="19" t="str">
        <f t="array" ref="J260">IF($I260="","",IFERROR(INDEX(Legend!$C$41:$C$45,MATCH($I260,Legend!$B$41:$B$45,0)),""))</f>
        <v/>
      </c>
      <c r="K260" s="19"/>
    </row>
    <row r="261" ht="15.75" customHeight="1">
      <c r="A261" s="18">
        <v>257.0</v>
      </c>
      <c r="B261" s="19" t="s">
        <v>620</v>
      </c>
      <c r="C261" s="19" t="s">
        <v>1129</v>
      </c>
      <c r="D261" s="19" t="s">
        <v>1155</v>
      </c>
      <c r="E261" s="48" t="s">
        <v>43</v>
      </c>
      <c r="F261" s="54" t="s">
        <v>46</v>
      </c>
      <c r="G261" s="61" t="s">
        <v>47</v>
      </c>
      <c r="H261" s="39" t="s">
        <v>488</v>
      </c>
      <c r="I261" s="19"/>
      <c r="J261" s="19" t="str">
        <f t="array" ref="J261">IF($I261="","",IFERROR(INDEX(Legend!$C$41:$C$45,MATCH($I261,Legend!$B$41:$B$45,0)),""))</f>
        <v/>
      </c>
      <c r="K261" s="19"/>
    </row>
    <row r="262" ht="15.75" customHeight="1">
      <c r="A262" s="18">
        <v>258.0</v>
      </c>
      <c r="B262" s="19" t="s">
        <v>620</v>
      </c>
      <c r="C262" s="19" t="s">
        <v>1156</v>
      </c>
      <c r="D262" s="19" t="s">
        <v>1157</v>
      </c>
      <c r="E262" s="53" t="s">
        <v>42</v>
      </c>
      <c r="F262" s="31" t="s">
        <v>34</v>
      </c>
      <c r="G262" s="37" t="s">
        <v>49</v>
      </c>
      <c r="H262" s="39" t="s">
        <v>1158</v>
      </c>
      <c r="I262" s="19"/>
      <c r="J262" s="19" t="str">
        <f t="array" ref="J262">IF($I262="","",IFERROR(INDEX(Legend!$C$41:$C$45,MATCH($I262,Legend!$B$41:$B$45,0)),""))</f>
        <v/>
      </c>
      <c r="K262" s="19"/>
    </row>
    <row r="263" ht="15.75" customHeight="1">
      <c r="A263" s="18">
        <v>259.0</v>
      </c>
      <c r="B263" s="19" t="s">
        <v>620</v>
      </c>
      <c r="C263" s="19" t="s">
        <v>1156</v>
      </c>
      <c r="D263" s="19" t="s">
        <v>1161</v>
      </c>
      <c r="E263" s="53" t="s">
        <v>42</v>
      </c>
      <c r="F263" s="31" t="s">
        <v>34</v>
      </c>
      <c r="G263" s="37" t="s">
        <v>49</v>
      </c>
      <c r="H263" s="39"/>
      <c r="I263" s="19"/>
      <c r="J263" s="19" t="str">
        <f t="array" ref="J263">IF($I263="","",IFERROR(INDEX(Legend!$C$41:$C$45,MATCH($I263,Legend!$B$41:$B$45,0)),""))</f>
        <v/>
      </c>
      <c r="K263" s="19"/>
    </row>
    <row r="264" ht="15.75" customHeight="1">
      <c r="A264" s="18">
        <v>260.0</v>
      </c>
      <c r="B264" s="19" t="s">
        <v>620</v>
      </c>
      <c r="C264" s="19" t="s">
        <v>1156</v>
      </c>
      <c r="D264" s="19" t="s">
        <v>1163</v>
      </c>
      <c r="E264" s="53" t="s">
        <v>42</v>
      </c>
      <c r="F264" s="31" t="s">
        <v>34</v>
      </c>
      <c r="G264" s="46" t="s">
        <v>50</v>
      </c>
      <c r="H264" s="39"/>
      <c r="I264" s="19"/>
      <c r="J264" s="19" t="str">
        <f t="array" ref="J264">IF($I264="","",IFERROR(INDEX(Legend!$C$41:$C$45,MATCH($I264,Legend!$B$41:$B$45,0)),""))</f>
        <v/>
      </c>
      <c r="K264" s="19"/>
    </row>
    <row r="265" ht="15.75" customHeight="1">
      <c r="A265" s="18">
        <v>261.0</v>
      </c>
      <c r="B265" s="19" t="s">
        <v>620</v>
      </c>
      <c r="C265" s="19" t="s">
        <v>1156</v>
      </c>
      <c r="D265" s="19" t="s">
        <v>1165</v>
      </c>
      <c r="E265" s="53" t="s">
        <v>42</v>
      </c>
      <c r="F265" s="48" t="s">
        <v>77</v>
      </c>
      <c r="G265" s="46" t="s">
        <v>50</v>
      </c>
      <c r="H265" s="39"/>
      <c r="I265" s="19"/>
      <c r="J265" s="19" t="str">
        <f t="array" ref="J265">IF($I265="","",IFERROR(INDEX(Legend!$C$41:$C$45,MATCH($I265,Legend!$B$41:$B$45,0)),""))</f>
        <v/>
      </c>
      <c r="K265" s="19"/>
    </row>
    <row r="266" ht="15.75" customHeight="1">
      <c r="A266" s="18">
        <v>262.0</v>
      </c>
      <c r="B266" s="19" t="s">
        <v>620</v>
      </c>
      <c r="C266" s="19" t="s">
        <v>1156</v>
      </c>
      <c r="D266" s="19" t="s">
        <v>1166</v>
      </c>
      <c r="E266" s="53" t="s">
        <v>42</v>
      </c>
      <c r="F266" s="31" t="s">
        <v>34</v>
      </c>
      <c r="G266" s="37" t="s">
        <v>49</v>
      </c>
      <c r="H266" s="39"/>
      <c r="I266" s="19"/>
      <c r="J266" s="19" t="str">
        <f t="array" ref="J266">IF($I266="","",IFERROR(INDEX(Legend!$C$41:$C$45,MATCH($I266,Legend!$B$41:$B$45,0)),""))</f>
        <v/>
      </c>
      <c r="K266" s="19"/>
    </row>
    <row r="267" ht="15.75" customHeight="1">
      <c r="A267" s="18">
        <v>263.0</v>
      </c>
      <c r="B267" s="19" t="s">
        <v>620</v>
      </c>
      <c r="C267" s="19" t="s">
        <v>1156</v>
      </c>
      <c r="D267" s="19" t="s">
        <v>1168</v>
      </c>
      <c r="E267" s="53" t="s">
        <v>42</v>
      </c>
      <c r="F267" s="31" t="s">
        <v>34</v>
      </c>
      <c r="G267" s="37" t="s">
        <v>49</v>
      </c>
      <c r="H267" s="39"/>
      <c r="I267" s="19"/>
      <c r="J267" s="19" t="str">
        <f t="array" ref="J267">IF($I267="","",IFERROR(INDEX(Legend!$C$41:$C$45,MATCH($I267,Legend!$B$41:$B$45,0)),""))</f>
        <v/>
      </c>
      <c r="K267" s="19"/>
    </row>
    <row r="268" ht="15.75" customHeight="1">
      <c r="A268" s="18">
        <v>264.0</v>
      </c>
      <c r="B268" s="19" t="s">
        <v>620</v>
      </c>
      <c r="C268" s="19" t="s">
        <v>1156</v>
      </c>
      <c r="D268" s="19" t="s">
        <v>1169</v>
      </c>
      <c r="E268" s="53" t="s">
        <v>42</v>
      </c>
      <c r="F268" s="31" t="s">
        <v>34</v>
      </c>
      <c r="G268" s="46" t="s">
        <v>50</v>
      </c>
      <c r="H268" s="39"/>
      <c r="I268" s="19"/>
      <c r="J268" s="19" t="str">
        <f t="array" ref="J268">IF($I268="","",IFERROR(INDEX(Legend!$C$41:$C$45,MATCH($I268,Legend!$B$41:$B$45,0)),""))</f>
        <v/>
      </c>
      <c r="K268" s="19"/>
    </row>
    <row r="269" ht="15.75" customHeight="1">
      <c r="A269" s="18">
        <v>265.0</v>
      </c>
      <c r="B269" s="19" t="s">
        <v>620</v>
      </c>
      <c r="C269" s="19" t="s">
        <v>1156</v>
      </c>
      <c r="D269" s="19" t="s">
        <v>1172</v>
      </c>
      <c r="E269" s="53" t="s">
        <v>42</v>
      </c>
      <c r="F269" s="54" t="s">
        <v>46</v>
      </c>
      <c r="G269" s="61" t="s">
        <v>47</v>
      </c>
      <c r="H269" s="39" t="s">
        <v>1173</v>
      </c>
      <c r="I269" s="19"/>
      <c r="J269" s="19" t="str">
        <f t="array" ref="J269">IF($I269="","",IFERROR(INDEX(Legend!$C$41:$C$45,MATCH($I269,Legend!$B$41:$B$45,0)),""))</f>
        <v/>
      </c>
      <c r="K269" s="19"/>
    </row>
    <row r="270" ht="15.75" customHeight="1">
      <c r="A270" s="18">
        <v>266.0</v>
      </c>
      <c r="B270" s="19" t="s">
        <v>620</v>
      </c>
      <c r="C270" s="19" t="s">
        <v>1175</v>
      </c>
      <c r="D270" s="19" t="s">
        <v>1176</v>
      </c>
      <c r="E270" s="53" t="s">
        <v>42</v>
      </c>
      <c r="F270" s="31" t="s">
        <v>34</v>
      </c>
      <c r="G270" s="46" t="s">
        <v>50</v>
      </c>
      <c r="H270" s="39" t="s">
        <v>1177</v>
      </c>
      <c r="I270" s="19"/>
      <c r="J270" s="19" t="str">
        <f t="array" ref="J270">IF($I270="","",IFERROR(INDEX(Legend!$C$41:$C$45,MATCH($I270,Legend!$B$41:$B$45,0)),""))</f>
        <v/>
      </c>
      <c r="K270" s="19"/>
    </row>
    <row r="271" ht="15.75" customHeight="1">
      <c r="A271" s="18">
        <v>267.0</v>
      </c>
      <c r="B271" s="19" t="s">
        <v>620</v>
      </c>
      <c r="C271" s="19" t="s">
        <v>1175</v>
      </c>
      <c r="D271" s="19" t="s">
        <v>1178</v>
      </c>
      <c r="E271" s="53" t="s">
        <v>42</v>
      </c>
      <c r="F271" s="31" t="s">
        <v>34</v>
      </c>
      <c r="G271" s="46" t="s">
        <v>50</v>
      </c>
      <c r="H271" s="39"/>
      <c r="I271" s="19"/>
      <c r="J271" s="19" t="str">
        <f t="array" ref="J271">IF($I271="","",IFERROR(INDEX(Legend!$C$41:$C$45,MATCH($I271,Legend!$B$41:$B$45,0)),""))</f>
        <v/>
      </c>
      <c r="K271" s="19"/>
    </row>
    <row r="272" ht="15.75" customHeight="1">
      <c r="A272" s="18">
        <v>268.0</v>
      </c>
      <c r="B272" s="19" t="s">
        <v>620</v>
      </c>
      <c r="C272" s="19" t="s">
        <v>1175</v>
      </c>
      <c r="D272" s="19" t="s">
        <v>1180</v>
      </c>
      <c r="E272" s="53" t="s">
        <v>42</v>
      </c>
      <c r="F272" s="31" t="s">
        <v>34</v>
      </c>
      <c r="G272" s="46" t="s">
        <v>50</v>
      </c>
      <c r="H272" s="39"/>
      <c r="I272" s="19"/>
      <c r="J272" s="19" t="str">
        <f t="array" ref="J272">IF($I272="","",IFERROR(INDEX(Legend!$C$41:$C$45,MATCH($I272,Legend!$B$41:$B$45,0)),""))</f>
        <v/>
      </c>
      <c r="K272" s="19"/>
    </row>
    <row r="273" ht="15.75" customHeight="1">
      <c r="A273" s="18">
        <v>269.0</v>
      </c>
      <c r="B273" s="19" t="s">
        <v>620</v>
      </c>
      <c r="C273" s="19" t="s">
        <v>1175</v>
      </c>
      <c r="D273" s="19" t="s">
        <v>1181</v>
      </c>
      <c r="E273" s="53" t="s">
        <v>42</v>
      </c>
      <c r="F273" s="31" t="s">
        <v>34</v>
      </c>
      <c r="G273" s="37" t="s">
        <v>49</v>
      </c>
      <c r="H273" s="39" t="s">
        <v>1182</v>
      </c>
      <c r="I273" s="19"/>
      <c r="J273" s="19" t="str">
        <f t="array" ref="J273">IF($I273="","",IFERROR(INDEX(Legend!$C$41:$C$45,MATCH($I273,Legend!$B$41:$B$45,0)),""))</f>
        <v/>
      </c>
      <c r="K273" s="19"/>
    </row>
    <row r="274" ht="15.75" customHeight="1">
      <c r="A274" s="18">
        <v>270.0</v>
      </c>
      <c r="B274" s="19" t="s">
        <v>620</v>
      </c>
      <c r="C274" s="19" t="s">
        <v>1175</v>
      </c>
      <c r="D274" s="19" t="s">
        <v>1184</v>
      </c>
      <c r="E274" s="53" t="s">
        <v>42</v>
      </c>
      <c r="F274" s="31" t="s">
        <v>34</v>
      </c>
      <c r="G274" s="37" t="s">
        <v>49</v>
      </c>
      <c r="H274" s="39" t="s">
        <v>1185</v>
      </c>
      <c r="I274" s="19"/>
      <c r="J274" s="19" t="str">
        <f t="array" ref="J274">IF($I274="","",IFERROR(INDEX(Legend!$C$41:$C$45,MATCH($I274,Legend!$B$41:$B$45,0)),""))</f>
        <v/>
      </c>
      <c r="K274" s="19"/>
    </row>
    <row r="275" ht="15.75" customHeight="1">
      <c r="A275" s="18">
        <v>271.0</v>
      </c>
      <c r="B275" s="19" t="s">
        <v>620</v>
      </c>
      <c r="C275" s="19" t="s">
        <v>1175</v>
      </c>
      <c r="D275" s="19" t="s">
        <v>1186</v>
      </c>
      <c r="E275" s="53" t="s">
        <v>42</v>
      </c>
      <c r="F275" s="48" t="s">
        <v>77</v>
      </c>
      <c r="G275" s="46" t="s">
        <v>50</v>
      </c>
      <c r="H275" s="39" t="s">
        <v>1187</v>
      </c>
      <c r="I275" s="19"/>
      <c r="J275" s="19" t="str">
        <f t="array" ref="J275">IF($I275="","",IFERROR(INDEX(Legend!$C$41:$C$45,MATCH($I275,Legend!$B$41:$B$45,0)),""))</f>
        <v/>
      </c>
      <c r="K275" s="19"/>
    </row>
    <row r="276" ht="15.75" customHeight="1">
      <c r="A276" s="18">
        <v>272.0</v>
      </c>
      <c r="B276" s="19" t="s">
        <v>620</v>
      </c>
      <c r="C276" s="19" t="s">
        <v>1175</v>
      </c>
      <c r="D276" s="19" t="s">
        <v>1189</v>
      </c>
      <c r="E276" s="48" t="s">
        <v>43</v>
      </c>
      <c r="F276" s="54" t="s">
        <v>46</v>
      </c>
      <c r="G276" s="61" t="s">
        <v>47</v>
      </c>
      <c r="H276" s="39" t="s">
        <v>488</v>
      </c>
      <c r="I276" s="19"/>
      <c r="J276" s="19" t="str">
        <f t="array" ref="J276">IF($I276="","",IFERROR(INDEX(Legend!$C$41:$C$45,MATCH($I276,Legend!$B$41:$B$45,0)),""))</f>
        <v/>
      </c>
      <c r="K276" s="19"/>
    </row>
    <row r="277" ht="15.75" customHeight="1">
      <c r="A277" s="18">
        <v>273.0</v>
      </c>
      <c r="B277" s="19" t="s">
        <v>620</v>
      </c>
      <c r="C277" s="19" t="s">
        <v>1175</v>
      </c>
      <c r="D277" s="19" t="s">
        <v>1190</v>
      </c>
      <c r="E277" s="48" t="s">
        <v>43</v>
      </c>
      <c r="F277" s="54" t="s">
        <v>46</v>
      </c>
      <c r="G277" s="61" t="s">
        <v>47</v>
      </c>
      <c r="H277" s="39" t="s">
        <v>488</v>
      </c>
      <c r="I277" s="19"/>
      <c r="J277" s="19" t="str">
        <f t="array" ref="J277">IF($I277="","",IFERROR(INDEX(Legend!$C$41:$C$45,MATCH($I277,Legend!$B$41:$B$45,0)),""))</f>
        <v/>
      </c>
      <c r="K277" s="19"/>
    </row>
    <row r="278" ht="15.75" customHeight="1">
      <c r="A278" s="18">
        <v>274.0</v>
      </c>
      <c r="B278" s="19" t="s">
        <v>620</v>
      </c>
      <c r="C278" s="19" t="s">
        <v>808</v>
      </c>
      <c r="D278" s="19" t="s">
        <v>1194</v>
      </c>
      <c r="E278" s="53" t="s">
        <v>42</v>
      </c>
      <c r="F278" s="48" t="s">
        <v>77</v>
      </c>
      <c r="G278" s="46" t="s">
        <v>50</v>
      </c>
      <c r="H278" s="39" t="s">
        <v>1195</v>
      </c>
      <c r="I278" s="19"/>
      <c r="J278" s="19" t="str">
        <f t="array" ref="J278">IF($I278="","",IFERROR(INDEX(Legend!$C$41:$C$45,MATCH($I278,Legend!$B$41:$B$45,0)),""))</f>
        <v/>
      </c>
      <c r="K278" s="19"/>
    </row>
    <row r="279" ht="15.75" customHeight="1">
      <c r="A279" s="18">
        <v>275.0</v>
      </c>
      <c r="B279" s="19" t="s">
        <v>620</v>
      </c>
      <c r="C279" s="19" t="s">
        <v>972</v>
      </c>
      <c r="D279" s="19" t="s">
        <v>1196</v>
      </c>
      <c r="E279" s="53" t="s">
        <v>42</v>
      </c>
      <c r="F279" s="48" t="s">
        <v>77</v>
      </c>
      <c r="G279" s="46" t="s">
        <v>50</v>
      </c>
      <c r="H279" s="39" t="s">
        <v>1197</v>
      </c>
      <c r="I279" s="19"/>
      <c r="J279" s="19" t="str">
        <f t="array" ref="J279">IF($I279="","",IFERROR(INDEX(Legend!$C$41:$C$45,MATCH($I279,Legend!$B$41:$B$45,0)),""))</f>
        <v/>
      </c>
      <c r="K279" s="19"/>
    </row>
    <row r="280" ht="15.75" customHeight="1">
      <c r="A280" s="18">
        <v>276.0</v>
      </c>
      <c r="B280" s="19" t="s">
        <v>620</v>
      </c>
      <c r="C280" s="19" t="s">
        <v>1082</v>
      </c>
      <c r="D280" s="19" t="s">
        <v>1198</v>
      </c>
      <c r="E280" s="53" t="s">
        <v>42</v>
      </c>
      <c r="F280" s="31" t="s">
        <v>34</v>
      </c>
      <c r="G280" s="46" t="s">
        <v>50</v>
      </c>
      <c r="H280" s="39" t="s">
        <v>1200</v>
      </c>
      <c r="I280" s="19"/>
      <c r="J280" s="19" t="str">
        <f t="array" ref="J280">IF($I280="","",IFERROR(INDEX(Legend!$C$41:$C$45,MATCH($I280,Legend!$B$41:$B$45,0)),""))</f>
        <v/>
      </c>
      <c r="K280" s="19"/>
    </row>
    <row r="281" ht="15.75" customHeight="1">
      <c r="A281" s="18">
        <v>277.0</v>
      </c>
      <c r="B281" s="19" t="s">
        <v>620</v>
      </c>
      <c r="C281" s="19" t="s">
        <v>1082</v>
      </c>
      <c r="D281" s="19" t="s">
        <v>1202</v>
      </c>
      <c r="E281" s="53" t="s">
        <v>42</v>
      </c>
      <c r="F281" s="31" t="s">
        <v>34</v>
      </c>
      <c r="G281" s="61" t="s">
        <v>47</v>
      </c>
      <c r="H281" s="39" t="s">
        <v>1203</v>
      </c>
      <c r="I281" s="19"/>
      <c r="J281" s="19" t="str">
        <f t="array" ref="J281">IF($I281="","",IFERROR(INDEX(Legend!$C$41:$C$45,MATCH($I281,Legend!$B$41:$B$45,0)),""))</f>
        <v/>
      </c>
      <c r="K281" s="19"/>
    </row>
    <row r="282" ht="15.75" customHeight="1">
      <c r="A282" s="18">
        <v>278.0</v>
      </c>
      <c r="B282" s="19" t="s">
        <v>620</v>
      </c>
      <c r="C282" s="19" t="s">
        <v>1156</v>
      </c>
      <c r="D282" s="19" t="s">
        <v>1205</v>
      </c>
      <c r="E282" s="53" t="s">
        <v>42</v>
      </c>
      <c r="F282" s="54" t="s">
        <v>46</v>
      </c>
      <c r="G282" s="37" t="s">
        <v>49</v>
      </c>
      <c r="H282" s="39" t="s">
        <v>1206</v>
      </c>
      <c r="I282" s="19"/>
      <c r="J282" s="19" t="str">
        <f t="array" ref="J282">IF($I282="","",IFERROR(INDEX(Legend!$C$41:$C$45,MATCH($I282,Legend!$B$41:$B$45,0)),""))</f>
        <v/>
      </c>
      <c r="K282" s="19"/>
    </row>
    <row r="283" ht="15.75" customHeight="1">
      <c r="A283" s="18">
        <v>279.0</v>
      </c>
      <c r="B283" s="19" t="s">
        <v>914</v>
      </c>
      <c r="C283" s="19" t="s">
        <v>1208</v>
      </c>
      <c r="D283" s="19" t="s">
        <v>1209</v>
      </c>
      <c r="E283" s="20" t="s">
        <v>33</v>
      </c>
      <c r="F283" s="31" t="s">
        <v>34</v>
      </c>
      <c r="G283" s="37" t="s">
        <v>49</v>
      </c>
      <c r="H283" s="39" t="s">
        <v>1210</v>
      </c>
      <c r="I283" s="19"/>
      <c r="J283" s="19" t="str">
        <f t="array" ref="J283">IF($I283="","",IFERROR(INDEX(Legend!$C$41:$C$45,MATCH($I283,Legend!$B$41:$B$45,0)),""))</f>
        <v/>
      </c>
      <c r="K283" s="19"/>
    </row>
    <row r="284" ht="15.75" customHeight="1">
      <c r="A284" s="18">
        <v>280.0</v>
      </c>
      <c r="B284" s="19" t="s">
        <v>914</v>
      </c>
      <c r="C284" s="19" t="s">
        <v>1208</v>
      </c>
      <c r="D284" s="19" t="s">
        <v>1211</v>
      </c>
      <c r="E284" s="53" t="s">
        <v>42</v>
      </c>
      <c r="F284" s="31" t="s">
        <v>34</v>
      </c>
      <c r="G284" s="46" t="s">
        <v>50</v>
      </c>
      <c r="H284" s="39" t="s">
        <v>1212</v>
      </c>
      <c r="I284" s="19"/>
      <c r="J284" s="19" t="str">
        <f t="array" ref="J284">IF($I284="","",IFERROR(INDEX(Legend!$C$41:$C$45,MATCH($I284,Legend!$B$41:$B$45,0)),""))</f>
        <v/>
      </c>
      <c r="K284" s="19"/>
    </row>
    <row r="285" ht="15.75" customHeight="1">
      <c r="A285" s="18">
        <v>281.0</v>
      </c>
      <c r="B285" s="19" t="s">
        <v>914</v>
      </c>
      <c r="C285" s="19" t="s">
        <v>1208</v>
      </c>
      <c r="D285" s="19" t="s">
        <v>1215</v>
      </c>
      <c r="E285" s="53" t="s">
        <v>42</v>
      </c>
      <c r="F285" s="31" t="s">
        <v>34</v>
      </c>
      <c r="G285" s="37" t="s">
        <v>49</v>
      </c>
      <c r="H285" s="39" t="s">
        <v>1216</v>
      </c>
      <c r="I285" s="19"/>
      <c r="J285" s="19" t="str">
        <f t="array" ref="J285">IF($I285="","",IFERROR(INDEX(Legend!$C$41:$C$45,MATCH($I285,Legend!$B$41:$B$45,0)),""))</f>
        <v/>
      </c>
      <c r="K285" s="19"/>
    </row>
    <row r="286" ht="15.75" customHeight="1">
      <c r="A286" s="18">
        <v>282.0</v>
      </c>
      <c r="B286" s="19" t="s">
        <v>914</v>
      </c>
      <c r="C286" s="19" t="s">
        <v>1208</v>
      </c>
      <c r="D286" s="19" t="s">
        <v>1217</v>
      </c>
      <c r="E286" s="53" t="s">
        <v>42</v>
      </c>
      <c r="F286" s="48" t="s">
        <v>77</v>
      </c>
      <c r="G286" s="37" t="s">
        <v>49</v>
      </c>
      <c r="H286" s="39" t="s">
        <v>1218</v>
      </c>
      <c r="I286" s="19"/>
      <c r="J286" s="19" t="str">
        <f t="array" ref="J286">IF($I286="","",IFERROR(INDEX(Legend!$C$41:$C$45,MATCH($I286,Legend!$B$41:$B$45,0)),""))</f>
        <v/>
      </c>
      <c r="K286" s="19"/>
    </row>
    <row r="287" ht="15.75" customHeight="1">
      <c r="A287" s="18">
        <v>283.0</v>
      </c>
      <c r="B287" s="19" t="s">
        <v>914</v>
      </c>
      <c r="C287" s="19" t="s">
        <v>1208</v>
      </c>
      <c r="D287" s="19" t="s">
        <v>1220</v>
      </c>
      <c r="E287" s="53" t="s">
        <v>42</v>
      </c>
      <c r="F287" s="31" t="s">
        <v>34</v>
      </c>
      <c r="G287" s="46" t="s">
        <v>50</v>
      </c>
      <c r="H287" s="39" t="s">
        <v>1221</v>
      </c>
      <c r="I287" s="19"/>
      <c r="J287" s="19" t="str">
        <f t="array" ref="J287">IF($I287="","",IFERROR(INDEX(Legend!$C$41:$C$45,MATCH($I287,Legend!$B$41:$B$45,0)),""))</f>
        <v/>
      </c>
      <c r="K287" s="19"/>
    </row>
    <row r="288" ht="15.75" customHeight="1">
      <c r="A288" s="18">
        <v>284.0</v>
      </c>
      <c r="B288" s="19" t="s">
        <v>914</v>
      </c>
      <c r="C288" s="19" t="s">
        <v>1208</v>
      </c>
      <c r="D288" s="19" t="s">
        <v>1222</v>
      </c>
      <c r="E288" s="53" t="s">
        <v>42</v>
      </c>
      <c r="F288" s="31" t="s">
        <v>34</v>
      </c>
      <c r="G288" s="37" t="s">
        <v>49</v>
      </c>
      <c r="H288" s="39" t="s">
        <v>1223</v>
      </c>
      <c r="I288" s="19"/>
      <c r="J288" s="19" t="str">
        <f t="array" ref="J288">IF($I288="","",IFERROR(INDEX(Legend!$C$41:$C$45,MATCH($I288,Legend!$B$41:$B$45,0)),""))</f>
        <v/>
      </c>
      <c r="K288" s="19"/>
    </row>
    <row r="289" ht="15.75" customHeight="1">
      <c r="A289" s="18">
        <v>285.0</v>
      </c>
      <c r="B289" s="19" t="s">
        <v>914</v>
      </c>
      <c r="C289" s="19" t="s">
        <v>1208</v>
      </c>
      <c r="D289" s="19" t="s">
        <v>1225</v>
      </c>
      <c r="E289" s="53" t="s">
        <v>42</v>
      </c>
      <c r="F289" s="31" t="s">
        <v>34</v>
      </c>
      <c r="G289" s="46" t="s">
        <v>50</v>
      </c>
      <c r="H289" s="39" t="s">
        <v>1226</v>
      </c>
      <c r="I289" s="19"/>
      <c r="J289" s="19" t="str">
        <f t="array" ref="J289">IF($I289="","",IFERROR(INDEX(Legend!$C$41:$C$45,MATCH($I289,Legend!$B$41:$B$45,0)),""))</f>
        <v/>
      </c>
      <c r="K289" s="19"/>
    </row>
    <row r="290" ht="15.75" customHeight="1">
      <c r="A290" s="18">
        <v>286.0</v>
      </c>
      <c r="B290" s="19" t="s">
        <v>925</v>
      </c>
      <c r="C290" s="19" t="s">
        <v>1227</v>
      </c>
      <c r="D290" s="19" t="s">
        <v>1228</v>
      </c>
      <c r="E290" s="20" t="s">
        <v>33</v>
      </c>
      <c r="F290" s="31" t="s">
        <v>34</v>
      </c>
      <c r="G290" s="37" t="s">
        <v>49</v>
      </c>
      <c r="H290" s="39" t="s">
        <v>1229</v>
      </c>
      <c r="I290" s="19"/>
      <c r="J290" s="19" t="str">
        <f t="array" ref="J290">IF($I290="","",IFERROR(INDEX(Legend!$C$41:$C$45,MATCH($I290,Legend!$B$41:$B$45,0)),""))</f>
        <v/>
      </c>
      <c r="K290" s="19"/>
    </row>
    <row r="291" ht="15.75" customHeight="1">
      <c r="A291" s="18">
        <v>287.0</v>
      </c>
      <c r="B291" s="19" t="s">
        <v>925</v>
      </c>
      <c r="C291" s="19" t="s">
        <v>1227</v>
      </c>
      <c r="D291" s="19" t="s">
        <v>1231</v>
      </c>
      <c r="E291" s="20" t="s">
        <v>33</v>
      </c>
      <c r="F291" s="31" t="s">
        <v>34</v>
      </c>
      <c r="G291" s="37" t="s">
        <v>49</v>
      </c>
      <c r="H291" s="39" t="s">
        <v>1232</v>
      </c>
      <c r="I291" s="19"/>
      <c r="J291" s="19" t="str">
        <f t="array" ref="J291">IF($I291="","",IFERROR(INDEX(Legend!$C$41:$C$45,MATCH($I291,Legend!$B$41:$B$45,0)),""))</f>
        <v/>
      </c>
      <c r="K291" s="19"/>
    </row>
    <row r="292" ht="15.75" customHeight="1">
      <c r="A292" s="18">
        <v>288.0</v>
      </c>
      <c r="B292" s="19" t="s">
        <v>925</v>
      </c>
      <c r="C292" s="19" t="s">
        <v>1227</v>
      </c>
      <c r="D292" s="19" t="s">
        <v>1233</v>
      </c>
      <c r="E292" s="20" t="s">
        <v>33</v>
      </c>
      <c r="F292" s="48" t="s">
        <v>77</v>
      </c>
      <c r="G292" s="37" t="s">
        <v>49</v>
      </c>
      <c r="H292" s="39" t="s">
        <v>1234</v>
      </c>
      <c r="I292" s="19"/>
      <c r="J292" s="19" t="str">
        <f t="array" ref="J292">IF($I292="","",IFERROR(INDEX(Legend!$C$41:$C$45,MATCH($I292,Legend!$B$41:$B$45,0)),""))</f>
        <v/>
      </c>
      <c r="K292" s="19"/>
    </row>
    <row r="293" ht="15.75" customHeight="1">
      <c r="A293" s="18">
        <v>289.0</v>
      </c>
      <c r="B293" s="19" t="s">
        <v>925</v>
      </c>
      <c r="C293" s="19" t="s">
        <v>1227</v>
      </c>
      <c r="D293" s="19" t="s">
        <v>1237</v>
      </c>
      <c r="E293" s="20" t="s">
        <v>33</v>
      </c>
      <c r="F293" s="31" t="s">
        <v>34</v>
      </c>
      <c r="G293" s="37" t="s">
        <v>49</v>
      </c>
      <c r="H293" s="39" t="s">
        <v>1238</v>
      </c>
      <c r="I293" s="19"/>
      <c r="J293" s="19" t="str">
        <f t="array" ref="J293">IF($I293="","",IFERROR(INDEX(Legend!$C$41:$C$45,MATCH($I293,Legend!$B$41:$B$45,0)),""))</f>
        <v/>
      </c>
      <c r="K293" s="19"/>
    </row>
    <row r="294" ht="15.75" customHeight="1">
      <c r="A294" s="18">
        <v>290.0</v>
      </c>
      <c r="B294" s="19" t="s">
        <v>925</v>
      </c>
      <c r="C294" s="19" t="s">
        <v>1227</v>
      </c>
      <c r="D294" s="19" t="s">
        <v>1239</v>
      </c>
      <c r="E294" s="20" t="s">
        <v>33</v>
      </c>
      <c r="F294" s="48" t="s">
        <v>77</v>
      </c>
      <c r="G294" s="37" t="s">
        <v>49</v>
      </c>
      <c r="H294" s="39" t="s">
        <v>1240</v>
      </c>
      <c r="I294" s="19"/>
      <c r="J294" s="19" t="str">
        <f t="array" ref="J294">IF($I294="","",IFERROR(INDEX(Legend!$C$41:$C$45,MATCH($I294,Legend!$B$41:$B$45,0)),""))</f>
        <v/>
      </c>
      <c r="K294" s="19"/>
    </row>
    <row r="295" ht="15.75" customHeight="1">
      <c r="A295" s="18">
        <v>291.0</v>
      </c>
      <c r="B295" s="19" t="s">
        <v>925</v>
      </c>
      <c r="C295" s="19" t="s">
        <v>1227</v>
      </c>
      <c r="D295" s="19" t="s">
        <v>1245</v>
      </c>
      <c r="E295" s="53" t="s">
        <v>42</v>
      </c>
      <c r="F295" s="48" t="s">
        <v>77</v>
      </c>
      <c r="G295" s="37" t="s">
        <v>49</v>
      </c>
      <c r="H295" s="39" t="s">
        <v>1246</v>
      </c>
      <c r="I295" s="19"/>
      <c r="J295" s="19" t="str">
        <f t="array" ref="J295">IF($I295="","",IFERROR(INDEX(Legend!$C$41:$C$45,MATCH($I295,Legend!$B$41:$B$45,0)),""))</f>
        <v/>
      </c>
      <c r="K295" s="19"/>
    </row>
    <row r="296" ht="15.75" customHeight="1">
      <c r="A296" s="18">
        <v>292.0</v>
      </c>
      <c r="B296" s="19" t="s">
        <v>925</v>
      </c>
      <c r="C296" s="19" t="s">
        <v>1227</v>
      </c>
      <c r="D296" s="19" t="s">
        <v>1248</v>
      </c>
      <c r="E296" s="53" t="s">
        <v>42</v>
      </c>
      <c r="F296" s="54" t="s">
        <v>46</v>
      </c>
      <c r="G296" s="61" t="s">
        <v>47</v>
      </c>
      <c r="H296" s="39"/>
      <c r="I296" s="19"/>
      <c r="J296" s="19" t="str">
        <f t="array" ref="J296">IF($I296="","",IFERROR(INDEX(Legend!$C$41:$C$45,MATCH($I296,Legend!$B$41:$B$45,0)),""))</f>
        <v/>
      </c>
      <c r="K296" s="19"/>
    </row>
    <row r="297" ht="15.75" customHeight="1">
      <c r="A297" s="18">
        <v>293.0</v>
      </c>
      <c r="B297" s="19" t="s">
        <v>925</v>
      </c>
      <c r="C297" s="19" t="s">
        <v>1227</v>
      </c>
      <c r="D297" s="19" t="s">
        <v>1250</v>
      </c>
      <c r="E297" s="53" t="s">
        <v>42</v>
      </c>
      <c r="F297" s="31" t="s">
        <v>34</v>
      </c>
      <c r="G297" s="37" t="s">
        <v>49</v>
      </c>
      <c r="H297" s="39" t="s">
        <v>1251</v>
      </c>
      <c r="I297" s="19"/>
      <c r="J297" s="19" t="str">
        <f t="array" ref="J297">IF($I297="","",IFERROR(INDEX(Legend!$C$41:$C$45,MATCH($I297,Legend!$B$41:$B$45,0)),""))</f>
        <v/>
      </c>
      <c r="K297" s="19"/>
    </row>
    <row r="298" ht="15.75" customHeight="1">
      <c r="A298" s="18">
        <v>294.0</v>
      </c>
      <c r="B298" s="19" t="s">
        <v>925</v>
      </c>
      <c r="C298" s="19" t="s">
        <v>1227</v>
      </c>
      <c r="D298" s="19" t="s">
        <v>1254</v>
      </c>
      <c r="E298" s="53" t="s">
        <v>42</v>
      </c>
      <c r="F298" s="31" t="s">
        <v>34</v>
      </c>
      <c r="G298" s="46" t="s">
        <v>50</v>
      </c>
      <c r="H298" s="39"/>
      <c r="I298" s="19"/>
      <c r="J298" s="19" t="str">
        <f t="array" ref="J298">IF($I298="","",IFERROR(INDEX(Legend!$C$41:$C$45,MATCH($I298,Legend!$B$41:$B$45,0)),""))</f>
        <v/>
      </c>
      <c r="K298" s="19"/>
    </row>
    <row r="299" ht="15.75" customHeight="1">
      <c r="A299" s="18">
        <v>295.0</v>
      </c>
      <c r="B299" s="19" t="s">
        <v>925</v>
      </c>
      <c r="C299" s="19" t="s">
        <v>1227</v>
      </c>
      <c r="D299" s="19" t="s">
        <v>1257</v>
      </c>
      <c r="E299" s="53" t="s">
        <v>42</v>
      </c>
      <c r="F299" s="31" t="s">
        <v>34</v>
      </c>
      <c r="G299" s="46" t="s">
        <v>50</v>
      </c>
      <c r="H299" s="39"/>
      <c r="I299" s="19"/>
      <c r="J299" s="19" t="str">
        <f t="array" ref="J299">IF($I299="","",IFERROR(INDEX(Legend!$C$41:$C$45,MATCH($I299,Legend!$B$41:$B$45,0)),""))</f>
        <v/>
      </c>
      <c r="K299" s="19"/>
    </row>
    <row r="300" ht="15.75" customHeight="1">
      <c r="A300" s="18">
        <v>296.0</v>
      </c>
      <c r="B300" s="19" t="s">
        <v>925</v>
      </c>
      <c r="C300" s="19" t="s">
        <v>1227</v>
      </c>
      <c r="D300" s="19" t="s">
        <v>1258</v>
      </c>
      <c r="E300" s="53" t="s">
        <v>42</v>
      </c>
      <c r="F300" s="54" t="s">
        <v>46</v>
      </c>
      <c r="G300" s="61" t="s">
        <v>47</v>
      </c>
      <c r="H300" s="39" t="s">
        <v>1259</v>
      </c>
      <c r="I300" s="19"/>
      <c r="J300" s="19" t="str">
        <f t="array" ref="J300">IF($I300="","",IFERROR(INDEX(Legend!$C$41:$C$45,MATCH($I300,Legend!$B$41:$B$45,0)),""))</f>
        <v/>
      </c>
      <c r="K300" s="19"/>
    </row>
    <row r="301" ht="15.75" customHeight="1">
      <c r="A301" s="18">
        <v>297.0</v>
      </c>
      <c r="B301" s="19" t="s">
        <v>925</v>
      </c>
      <c r="C301" s="19" t="s">
        <v>1227</v>
      </c>
      <c r="D301" s="19" t="s">
        <v>1262</v>
      </c>
      <c r="E301" s="20" t="s">
        <v>33</v>
      </c>
      <c r="F301" s="48" t="s">
        <v>77</v>
      </c>
      <c r="G301" s="37" t="s">
        <v>49</v>
      </c>
      <c r="H301" s="39" t="s">
        <v>1263</v>
      </c>
      <c r="I301" s="19"/>
      <c r="J301" s="19" t="str">
        <f t="array" ref="J301">IF($I301="","",IFERROR(INDEX(Legend!$C$41:$C$45,MATCH($I301,Legend!$B$41:$B$45,0)),""))</f>
        <v/>
      </c>
      <c r="K301" s="19"/>
    </row>
    <row r="302" ht="15.75" customHeight="1">
      <c r="A302" s="18">
        <v>298.0</v>
      </c>
      <c r="B302" s="19" t="s">
        <v>925</v>
      </c>
      <c r="C302" s="19" t="s">
        <v>1227</v>
      </c>
      <c r="D302" s="19" t="s">
        <v>1264</v>
      </c>
      <c r="E302" s="20" t="s">
        <v>33</v>
      </c>
      <c r="F302" s="31" t="s">
        <v>34</v>
      </c>
      <c r="G302" s="37" t="s">
        <v>49</v>
      </c>
      <c r="H302" s="39" t="s">
        <v>1265</v>
      </c>
      <c r="I302" s="19"/>
      <c r="J302" s="19" t="str">
        <f t="array" ref="J302">IF($I302="","",IFERROR(INDEX(Legend!$C$41:$C$45,MATCH($I302,Legend!$B$41:$B$45,0)),""))</f>
        <v/>
      </c>
      <c r="K302" s="19"/>
    </row>
    <row r="303" ht="15.75" customHeight="1">
      <c r="A303" s="18">
        <v>299.0</v>
      </c>
      <c r="B303" s="19" t="s">
        <v>925</v>
      </c>
      <c r="C303" s="19" t="s">
        <v>1227</v>
      </c>
      <c r="D303" s="19" t="s">
        <v>1268</v>
      </c>
      <c r="E303" s="20" t="s">
        <v>33</v>
      </c>
      <c r="F303" s="31" t="s">
        <v>34</v>
      </c>
      <c r="G303" s="37" t="s">
        <v>49</v>
      </c>
      <c r="H303" s="39" t="s">
        <v>1269</v>
      </c>
      <c r="I303" s="19"/>
      <c r="J303" s="19" t="str">
        <f t="array" ref="J303">IF($I303="","",IFERROR(INDEX(Legend!$C$41:$C$45,MATCH($I303,Legend!$B$41:$B$45,0)),""))</f>
        <v/>
      </c>
      <c r="K303" s="19"/>
    </row>
    <row r="304" ht="15.75" customHeight="1">
      <c r="A304" s="18">
        <v>300.0</v>
      </c>
      <c r="B304" s="19" t="s">
        <v>925</v>
      </c>
      <c r="C304" s="19" t="s">
        <v>1227</v>
      </c>
      <c r="D304" s="19" t="s">
        <v>1270</v>
      </c>
      <c r="E304" s="53" t="s">
        <v>42</v>
      </c>
      <c r="F304" s="48" t="s">
        <v>77</v>
      </c>
      <c r="G304" s="46" t="s">
        <v>50</v>
      </c>
      <c r="H304" s="39" t="s">
        <v>1271</v>
      </c>
      <c r="I304" s="19"/>
      <c r="J304" s="19" t="str">
        <f t="array" ref="J304">IF($I304="","",IFERROR(INDEX(Legend!$C$41:$C$45,MATCH($I304,Legend!$B$41:$B$45,0)),""))</f>
        <v/>
      </c>
      <c r="K304" s="19"/>
    </row>
    <row r="305" ht="15.75" customHeight="1">
      <c r="A305" s="18">
        <v>301.0</v>
      </c>
      <c r="B305" s="19" t="s">
        <v>925</v>
      </c>
      <c r="C305" s="19" t="s">
        <v>1227</v>
      </c>
      <c r="D305" s="19" t="s">
        <v>1274</v>
      </c>
      <c r="E305" s="53" t="s">
        <v>42</v>
      </c>
      <c r="F305" s="31" t="s">
        <v>34</v>
      </c>
      <c r="G305" s="37" t="s">
        <v>49</v>
      </c>
      <c r="H305" s="39" t="s">
        <v>1275</v>
      </c>
      <c r="I305" s="19"/>
      <c r="J305" s="19" t="str">
        <f t="array" ref="J305">IF($I305="","",IFERROR(INDEX(Legend!$C$41:$C$45,MATCH($I305,Legend!$B$41:$B$45,0)),""))</f>
        <v/>
      </c>
      <c r="K305" s="19"/>
    </row>
    <row r="306" ht="15.75" customHeight="1">
      <c r="A306" s="18">
        <v>302.0</v>
      </c>
      <c r="B306" s="19" t="s">
        <v>925</v>
      </c>
      <c r="C306" s="19" t="s">
        <v>1227</v>
      </c>
      <c r="D306" s="19" t="s">
        <v>1276</v>
      </c>
      <c r="E306" s="53" t="s">
        <v>42</v>
      </c>
      <c r="F306" s="31" t="s">
        <v>34</v>
      </c>
      <c r="G306" s="46" t="s">
        <v>50</v>
      </c>
      <c r="H306" s="39" t="s">
        <v>1277</v>
      </c>
      <c r="I306" s="19"/>
      <c r="J306" s="19" t="str">
        <f t="array" ref="J306">IF($I306="","",IFERROR(INDEX(Legend!$C$41:$C$45,MATCH($I306,Legend!$B$41:$B$45,0)),""))</f>
        <v/>
      </c>
      <c r="K306" s="19"/>
    </row>
    <row r="307" ht="15.75" customHeight="1">
      <c r="A307" s="18">
        <v>303.0</v>
      </c>
      <c r="B307" s="19" t="s">
        <v>925</v>
      </c>
      <c r="C307" s="19" t="s">
        <v>1280</v>
      </c>
      <c r="D307" s="19" t="s">
        <v>1281</v>
      </c>
      <c r="E307" s="20" t="s">
        <v>33</v>
      </c>
      <c r="F307" s="31" t="s">
        <v>34</v>
      </c>
      <c r="G307" s="37" t="s">
        <v>49</v>
      </c>
      <c r="H307" s="39" t="s">
        <v>1282</v>
      </c>
      <c r="I307" s="19"/>
      <c r="J307" s="19" t="str">
        <f t="array" ref="J307">IF($I307="","",IFERROR(INDEX(Legend!$C$41:$C$45,MATCH($I307,Legend!$B$41:$B$45,0)),""))</f>
        <v/>
      </c>
      <c r="K307" s="19"/>
    </row>
    <row r="308" ht="15.75" customHeight="1">
      <c r="A308" s="18">
        <v>304.0</v>
      </c>
      <c r="B308" s="19" t="s">
        <v>925</v>
      </c>
      <c r="C308" s="19" t="s">
        <v>1280</v>
      </c>
      <c r="D308" s="19" t="s">
        <v>1283</v>
      </c>
      <c r="E308" s="53" t="s">
        <v>42</v>
      </c>
      <c r="F308" s="31" t="s">
        <v>34</v>
      </c>
      <c r="G308" s="46" t="s">
        <v>50</v>
      </c>
      <c r="H308" s="39" t="s">
        <v>1284</v>
      </c>
      <c r="I308" s="19"/>
      <c r="J308" s="19" t="str">
        <f t="array" ref="J308">IF($I308="","",IFERROR(INDEX(Legend!$C$41:$C$45,MATCH($I308,Legend!$B$41:$B$45,0)),""))</f>
        <v/>
      </c>
      <c r="K308" s="19"/>
    </row>
    <row r="309" ht="15.75" customHeight="1">
      <c r="A309" s="18">
        <v>305.0</v>
      </c>
      <c r="B309" s="19" t="s">
        <v>925</v>
      </c>
      <c r="C309" s="19" t="s">
        <v>1280</v>
      </c>
      <c r="D309" s="19" t="s">
        <v>1285</v>
      </c>
      <c r="E309" s="20" t="s">
        <v>33</v>
      </c>
      <c r="F309" s="48" t="s">
        <v>77</v>
      </c>
      <c r="G309" s="37" t="s">
        <v>49</v>
      </c>
      <c r="H309" s="39" t="s">
        <v>1286</v>
      </c>
      <c r="I309" s="19"/>
      <c r="J309" s="19" t="str">
        <f t="array" ref="J309">IF($I309="","",IFERROR(INDEX(Legend!$C$41:$C$45,MATCH($I309,Legend!$B$41:$B$45,0)),""))</f>
        <v/>
      </c>
      <c r="K309" s="19"/>
    </row>
    <row r="310" ht="15.75" customHeight="1">
      <c r="A310" s="18">
        <v>306.0</v>
      </c>
      <c r="B310" s="19" t="s">
        <v>925</v>
      </c>
      <c r="C310" s="19" t="s">
        <v>1280</v>
      </c>
      <c r="D310" s="19" t="s">
        <v>1289</v>
      </c>
      <c r="E310" s="53" t="s">
        <v>42</v>
      </c>
      <c r="F310" s="54" t="s">
        <v>46</v>
      </c>
      <c r="G310" s="61" t="s">
        <v>47</v>
      </c>
      <c r="H310" s="39" t="s">
        <v>1290</v>
      </c>
      <c r="I310" s="19"/>
      <c r="J310" s="19" t="str">
        <f t="array" ref="J310">IF($I310="","",IFERROR(INDEX(Legend!$C$41:$C$45,MATCH($I310,Legend!$B$41:$B$45,0)),""))</f>
        <v/>
      </c>
      <c r="K310" s="19"/>
    </row>
    <row r="311" ht="15.75" customHeight="1">
      <c r="A311" s="18">
        <v>307.0</v>
      </c>
      <c r="B311" s="19" t="s">
        <v>925</v>
      </c>
      <c r="C311" s="19" t="s">
        <v>1280</v>
      </c>
      <c r="D311" s="19" t="s">
        <v>1291</v>
      </c>
      <c r="E311" s="53" t="s">
        <v>42</v>
      </c>
      <c r="F311" s="48" t="s">
        <v>77</v>
      </c>
      <c r="G311" s="37" t="s">
        <v>49</v>
      </c>
      <c r="H311" s="39" t="s">
        <v>1292</v>
      </c>
      <c r="I311" s="19"/>
      <c r="J311" s="19" t="str">
        <f t="array" ref="J311">IF($I311="","",IFERROR(INDEX(Legend!$C$41:$C$45,MATCH($I311,Legend!$B$41:$B$45,0)),""))</f>
        <v/>
      </c>
      <c r="K311" s="19"/>
    </row>
    <row r="312" ht="15.75" customHeight="1">
      <c r="A312" s="18">
        <v>308.0</v>
      </c>
      <c r="B312" s="19" t="s">
        <v>925</v>
      </c>
      <c r="C312" s="19" t="s">
        <v>1280</v>
      </c>
      <c r="D312" s="19" t="s">
        <v>1295</v>
      </c>
      <c r="E312" s="48" t="s">
        <v>43</v>
      </c>
      <c r="F312" s="54" t="s">
        <v>46</v>
      </c>
      <c r="G312" s="61" t="s">
        <v>47</v>
      </c>
      <c r="H312" s="39" t="s">
        <v>488</v>
      </c>
      <c r="I312" s="19"/>
      <c r="J312" s="19" t="str">
        <f t="array" ref="J312">IF($I312="","",IFERROR(INDEX(Legend!$C$41:$C$45,MATCH($I312,Legend!$B$41:$B$45,0)),""))</f>
        <v/>
      </c>
      <c r="K312" s="19"/>
    </row>
    <row r="313" ht="15.75" customHeight="1">
      <c r="A313" s="18">
        <v>309.0</v>
      </c>
      <c r="B313" s="19" t="s">
        <v>925</v>
      </c>
      <c r="C313" s="19" t="s">
        <v>1280</v>
      </c>
      <c r="D313" s="19" t="s">
        <v>1296</v>
      </c>
      <c r="E313" s="20" t="s">
        <v>33</v>
      </c>
      <c r="F313" s="31" t="s">
        <v>34</v>
      </c>
      <c r="G313" s="37" t="s">
        <v>49</v>
      </c>
      <c r="H313" s="39" t="s">
        <v>1297</v>
      </c>
      <c r="I313" s="19"/>
      <c r="J313" s="19" t="str">
        <f t="array" ref="J313">IF($I313="","",IFERROR(INDEX(Legend!$C$41:$C$45,MATCH($I313,Legend!$B$41:$B$45,0)),""))</f>
        <v/>
      </c>
      <c r="K313" s="19"/>
    </row>
    <row r="314" ht="15.75" customHeight="1">
      <c r="A314" s="18">
        <v>310.0</v>
      </c>
      <c r="B314" s="19" t="s">
        <v>925</v>
      </c>
      <c r="C314" s="19" t="s">
        <v>1300</v>
      </c>
      <c r="D314" s="19" t="s">
        <v>1301</v>
      </c>
      <c r="E314" s="20" t="s">
        <v>33</v>
      </c>
      <c r="F314" s="48" t="s">
        <v>77</v>
      </c>
      <c r="G314" s="37" t="s">
        <v>49</v>
      </c>
      <c r="H314" s="39" t="s">
        <v>1302</v>
      </c>
      <c r="I314" s="19"/>
      <c r="J314" s="19" t="str">
        <f t="array" ref="J314">IF($I314="","",IFERROR(INDEX(Legend!$C$41:$C$45,MATCH($I314,Legend!$B$41:$B$45,0)),""))</f>
        <v/>
      </c>
      <c r="K314" s="19"/>
    </row>
    <row r="315" ht="15.75" customHeight="1">
      <c r="A315" s="18">
        <v>311.0</v>
      </c>
      <c r="B315" s="19" t="s">
        <v>925</v>
      </c>
      <c r="C315" s="19" t="s">
        <v>1300</v>
      </c>
      <c r="D315" s="19" t="s">
        <v>1303</v>
      </c>
      <c r="E315" s="20" t="s">
        <v>33</v>
      </c>
      <c r="F315" s="48" t="s">
        <v>77</v>
      </c>
      <c r="G315" s="37" t="s">
        <v>49</v>
      </c>
      <c r="H315" s="39"/>
      <c r="I315" s="19"/>
      <c r="J315" s="19" t="str">
        <f t="array" ref="J315">IF($I315="","",IFERROR(INDEX(Legend!$C$41:$C$45,MATCH($I315,Legend!$B$41:$B$45,0)),""))</f>
        <v/>
      </c>
      <c r="K315" s="19"/>
    </row>
    <row r="316" ht="15.75" customHeight="1">
      <c r="A316" s="18">
        <v>312.0</v>
      </c>
      <c r="B316" s="19" t="s">
        <v>925</v>
      </c>
      <c r="C316" s="19" t="s">
        <v>1300</v>
      </c>
      <c r="D316" s="19" t="s">
        <v>1306</v>
      </c>
      <c r="E316" s="20" t="s">
        <v>33</v>
      </c>
      <c r="F316" s="31" t="s">
        <v>34</v>
      </c>
      <c r="G316" s="37" t="s">
        <v>49</v>
      </c>
      <c r="H316" s="39"/>
      <c r="I316" s="19"/>
      <c r="J316" s="19" t="str">
        <f t="array" ref="J316">IF($I316="","",IFERROR(INDEX(Legend!$C$41:$C$45,MATCH($I316,Legend!$B$41:$B$45,0)),""))</f>
        <v/>
      </c>
      <c r="K316" s="19"/>
    </row>
    <row r="317" ht="15.75" customHeight="1">
      <c r="A317" s="18">
        <v>313.0</v>
      </c>
      <c r="B317" s="19" t="s">
        <v>925</v>
      </c>
      <c r="C317" s="19" t="s">
        <v>1300</v>
      </c>
      <c r="D317" s="19" t="s">
        <v>1307</v>
      </c>
      <c r="E317" s="53" t="s">
        <v>42</v>
      </c>
      <c r="F317" s="31" t="s">
        <v>34</v>
      </c>
      <c r="G317" s="37" t="s">
        <v>49</v>
      </c>
      <c r="H317" s="39"/>
      <c r="I317" s="19"/>
      <c r="J317" s="19" t="str">
        <f t="array" ref="J317">IF($I317="","",IFERROR(INDEX(Legend!$C$41:$C$45,MATCH($I317,Legend!$B$41:$B$45,0)),""))</f>
        <v/>
      </c>
      <c r="K317" s="19"/>
    </row>
    <row r="318" ht="15.75" customHeight="1">
      <c r="A318" s="18">
        <v>314.0</v>
      </c>
      <c r="B318" s="19" t="s">
        <v>925</v>
      </c>
      <c r="C318" s="19" t="s">
        <v>1300</v>
      </c>
      <c r="D318" s="19" t="s">
        <v>1310</v>
      </c>
      <c r="E318" s="20" t="s">
        <v>33</v>
      </c>
      <c r="F318" s="48" t="s">
        <v>77</v>
      </c>
      <c r="G318" s="37" t="s">
        <v>49</v>
      </c>
      <c r="H318" s="39" t="s">
        <v>1311</v>
      </c>
      <c r="I318" s="19"/>
      <c r="J318" s="19" t="str">
        <f t="array" ref="J318">IF($I318="","",IFERROR(INDEX(Legend!$C$41:$C$45,MATCH($I318,Legend!$B$41:$B$45,0)),""))</f>
        <v/>
      </c>
      <c r="K318" s="19"/>
    </row>
    <row r="319" ht="15.75" customHeight="1">
      <c r="A319" s="18">
        <v>315.0</v>
      </c>
      <c r="B319" s="19" t="s">
        <v>925</v>
      </c>
      <c r="C319" s="19" t="s">
        <v>1300</v>
      </c>
      <c r="D319" s="19" t="s">
        <v>1312</v>
      </c>
      <c r="E319" s="53" t="s">
        <v>42</v>
      </c>
      <c r="F319" s="31" t="s">
        <v>34</v>
      </c>
      <c r="G319" s="37" t="s">
        <v>49</v>
      </c>
      <c r="H319" s="39"/>
      <c r="I319" s="19"/>
      <c r="J319" s="19" t="str">
        <f t="array" ref="J319">IF($I319="","",IFERROR(INDEX(Legend!$C$41:$C$45,MATCH($I319,Legend!$B$41:$B$45,0)),""))</f>
        <v/>
      </c>
      <c r="K319" s="19"/>
    </row>
    <row r="320" ht="15.75" customHeight="1">
      <c r="A320" s="18">
        <v>316.0</v>
      </c>
      <c r="B320" s="19" t="s">
        <v>925</v>
      </c>
      <c r="C320" s="19" t="s">
        <v>1300</v>
      </c>
      <c r="D320" s="19" t="s">
        <v>1315</v>
      </c>
      <c r="E320" s="53" t="s">
        <v>42</v>
      </c>
      <c r="F320" s="31" t="s">
        <v>34</v>
      </c>
      <c r="G320" s="46" t="s">
        <v>50</v>
      </c>
      <c r="H320" s="39"/>
      <c r="I320" s="19"/>
      <c r="J320" s="19" t="str">
        <f t="array" ref="J320">IF($I320="","",IFERROR(INDEX(Legend!$C$41:$C$45,MATCH($I320,Legend!$B$41:$B$45,0)),""))</f>
        <v/>
      </c>
      <c r="K320" s="19"/>
    </row>
    <row r="321" ht="15.75" customHeight="1">
      <c r="A321" s="18">
        <v>317.0</v>
      </c>
      <c r="B321" s="19" t="s">
        <v>925</v>
      </c>
      <c r="C321" s="19" t="s">
        <v>1300</v>
      </c>
      <c r="D321" s="19" t="s">
        <v>1317</v>
      </c>
      <c r="E321" s="53" t="s">
        <v>42</v>
      </c>
      <c r="F321" s="31" t="s">
        <v>34</v>
      </c>
      <c r="G321" s="46" t="s">
        <v>50</v>
      </c>
      <c r="H321" s="39" t="s">
        <v>1320</v>
      </c>
      <c r="I321" s="19"/>
      <c r="J321" s="19" t="str">
        <f t="array" ref="J321">IF($I321="","",IFERROR(INDEX(Legend!$C$41:$C$45,MATCH($I321,Legend!$B$41:$B$45,0)),""))</f>
        <v/>
      </c>
      <c r="K321" s="19"/>
    </row>
    <row r="322" ht="15.75" customHeight="1">
      <c r="A322" s="18">
        <v>318.0</v>
      </c>
      <c r="B322" s="19" t="s">
        <v>925</v>
      </c>
      <c r="C322" s="19" t="s">
        <v>1300</v>
      </c>
      <c r="D322" s="19" t="s">
        <v>1322</v>
      </c>
      <c r="E322" s="53" t="s">
        <v>42</v>
      </c>
      <c r="F322" s="48" t="s">
        <v>77</v>
      </c>
      <c r="G322" s="46" t="s">
        <v>50</v>
      </c>
      <c r="H322" s="39" t="s">
        <v>1323</v>
      </c>
      <c r="I322" s="19"/>
      <c r="J322" s="19" t="str">
        <f t="array" ref="J322">IF($I322="","",IFERROR(INDEX(Legend!$C$41:$C$45,MATCH($I322,Legend!$B$41:$B$45,0)),""))</f>
        <v/>
      </c>
      <c r="K322" s="19"/>
    </row>
    <row r="323" ht="15.75" customHeight="1">
      <c r="A323" s="18">
        <v>319.0</v>
      </c>
      <c r="B323" s="19" t="s">
        <v>925</v>
      </c>
      <c r="C323" s="19" t="s">
        <v>1300</v>
      </c>
      <c r="D323" s="19" t="s">
        <v>1324</v>
      </c>
      <c r="E323" s="53" t="s">
        <v>42</v>
      </c>
      <c r="F323" s="48" t="s">
        <v>77</v>
      </c>
      <c r="G323" s="37" t="s">
        <v>49</v>
      </c>
      <c r="H323" s="39" t="s">
        <v>1325</v>
      </c>
      <c r="I323" s="19"/>
      <c r="J323" s="19" t="str">
        <f t="array" ref="J323">IF($I323="","",IFERROR(INDEX(Legend!$C$41:$C$45,MATCH($I323,Legend!$B$41:$B$45,0)),""))</f>
        <v/>
      </c>
      <c r="K323" s="19"/>
    </row>
    <row r="324" ht="15.75" customHeight="1">
      <c r="A324" s="18">
        <v>320.0</v>
      </c>
      <c r="B324" s="19" t="s">
        <v>925</v>
      </c>
      <c r="C324" s="19" t="s">
        <v>1328</v>
      </c>
      <c r="D324" s="19" t="s">
        <v>1329</v>
      </c>
      <c r="E324" s="20" t="s">
        <v>33</v>
      </c>
      <c r="F324" s="31" t="s">
        <v>34</v>
      </c>
      <c r="G324" s="37" t="s">
        <v>49</v>
      </c>
      <c r="H324" s="39"/>
      <c r="I324" s="19"/>
      <c r="J324" s="19" t="str">
        <f t="array" ref="J324">IF($I324="","",IFERROR(INDEX(Legend!$C$41:$C$45,MATCH($I324,Legend!$B$41:$B$45,0)),""))</f>
        <v/>
      </c>
      <c r="K324" s="19"/>
    </row>
    <row r="325" ht="15.75" customHeight="1">
      <c r="A325" s="18">
        <v>321.0</v>
      </c>
      <c r="B325" s="19" t="s">
        <v>925</v>
      </c>
      <c r="C325" s="19" t="s">
        <v>1328</v>
      </c>
      <c r="D325" s="19" t="s">
        <v>1330</v>
      </c>
      <c r="E325" s="53" t="s">
        <v>42</v>
      </c>
      <c r="F325" s="31" t="s">
        <v>34</v>
      </c>
      <c r="G325" s="46" t="s">
        <v>50</v>
      </c>
      <c r="H325" s="39"/>
      <c r="I325" s="19"/>
      <c r="J325" s="19" t="str">
        <f t="array" ref="J325">IF($I325="","",IFERROR(INDEX(Legend!$C$41:$C$45,MATCH($I325,Legend!$B$41:$B$45,0)),""))</f>
        <v/>
      </c>
      <c r="K325" s="19"/>
    </row>
    <row r="326" ht="15.75" customHeight="1">
      <c r="A326" s="18">
        <v>322.0</v>
      </c>
      <c r="B326" s="19" t="s">
        <v>925</v>
      </c>
      <c r="C326" s="19" t="s">
        <v>1328</v>
      </c>
      <c r="D326" s="19" t="s">
        <v>1333</v>
      </c>
      <c r="E326" s="20" t="s">
        <v>33</v>
      </c>
      <c r="F326" s="48" t="s">
        <v>77</v>
      </c>
      <c r="G326" s="37" t="s">
        <v>49</v>
      </c>
      <c r="H326" s="39"/>
      <c r="I326" s="19"/>
      <c r="J326" s="19" t="str">
        <f t="array" ref="J326">IF($I326="","",IFERROR(INDEX(Legend!$C$41:$C$45,MATCH($I326,Legend!$B$41:$B$45,0)),""))</f>
        <v/>
      </c>
      <c r="K326" s="19"/>
    </row>
    <row r="327" ht="15.75" customHeight="1">
      <c r="A327" s="18">
        <v>323.0</v>
      </c>
      <c r="B327" s="19" t="s">
        <v>925</v>
      </c>
      <c r="C327" s="19" t="s">
        <v>1328</v>
      </c>
      <c r="D327" s="19" t="s">
        <v>1334</v>
      </c>
      <c r="E327" s="20" t="s">
        <v>33</v>
      </c>
      <c r="F327" s="31" t="s">
        <v>34</v>
      </c>
      <c r="G327" s="37" t="s">
        <v>49</v>
      </c>
      <c r="H327" s="39"/>
      <c r="I327" s="19"/>
      <c r="J327" s="19" t="str">
        <f t="array" ref="J327">IF($I327="","",IFERROR(INDEX(Legend!$C$41:$C$45,MATCH($I327,Legend!$B$41:$B$45,0)),""))</f>
        <v/>
      </c>
      <c r="K327" s="19"/>
    </row>
    <row r="328" ht="15.75" customHeight="1">
      <c r="A328" s="18">
        <v>324.0</v>
      </c>
      <c r="B328" s="19" t="s">
        <v>925</v>
      </c>
      <c r="C328" s="19" t="s">
        <v>1328</v>
      </c>
      <c r="D328" s="19" t="s">
        <v>1337</v>
      </c>
      <c r="E328" s="53" t="s">
        <v>42</v>
      </c>
      <c r="F328" s="31" t="s">
        <v>34</v>
      </c>
      <c r="G328" s="37" t="s">
        <v>49</v>
      </c>
      <c r="H328" s="39" t="s">
        <v>1338</v>
      </c>
      <c r="I328" s="19"/>
      <c r="J328" s="19" t="str">
        <f t="array" ref="J328">IF($I328="","",IFERROR(INDEX(Legend!$C$41:$C$45,MATCH($I328,Legend!$B$41:$B$45,0)),""))</f>
        <v/>
      </c>
      <c r="K328" s="19"/>
    </row>
    <row r="329" ht="15.75" customHeight="1">
      <c r="A329" s="18">
        <v>325.0</v>
      </c>
      <c r="B329" s="19" t="s">
        <v>925</v>
      </c>
      <c r="C329" s="19" t="s">
        <v>1328</v>
      </c>
      <c r="D329" s="19" t="s">
        <v>1339</v>
      </c>
      <c r="E329" s="53" t="s">
        <v>42</v>
      </c>
      <c r="F329" s="48" t="s">
        <v>77</v>
      </c>
      <c r="G329" s="37" t="s">
        <v>49</v>
      </c>
      <c r="H329" s="39" t="s">
        <v>1340</v>
      </c>
      <c r="I329" s="19"/>
      <c r="J329" s="19" t="str">
        <f t="array" ref="J329">IF($I329="","",IFERROR(INDEX(Legend!$C$41:$C$45,MATCH($I329,Legend!$B$41:$B$45,0)),""))</f>
        <v/>
      </c>
      <c r="K329" s="19"/>
    </row>
    <row r="330" ht="15.75" customHeight="1">
      <c r="A330" s="18">
        <v>326.0</v>
      </c>
      <c r="B330" s="19" t="s">
        <v>925</v>
      </c>
      <c r="C330" s="19" t="s">
        <v>1328</v>
      </c>
      <c r="D330" s="19" t="s">
        <v>1343</v>
      </c>
      <c r="E330" s="53" t="s">
        <v>42</v>
      </c>
      <c r="F330" s="31" t="s">
        <v>34</v>
      </c>
      <c r="G330" s="37" t="s">
        <v>49</v>
      </c>
      <c r="H330" s="39"/>
      <c r="I330" s="19"/>
      <c r="J330" s="19" t="str">
        <f t="array" ref="J330">IF($I330="","",IFERROR(INDEX(Legend!$C$41:$C$45,MATCH($I330,Legend!$B$41:$B$45,0)),""))</f>
        <v/>
      </c>
      <c r="K330" s="19"/>
    </row>
    <row r="331" ht="15.75" customHeight="1">
      <c r="A331" s="18">
        <v>327.0</v>
      </c>
      <c r="B331" s="19" t="s">
        <v>925</v>
      </c>
      <c r="C331" s="19" t="s">
        <v>1328</v>
      </c>
      <c r="D331" s="19" t="s">
        <v>1344</v>
      </c>
      <c r="E331" s="20" t="s">
        <v>33</v>
      </c>
      <c r="F331" s="31" t="s">
        <v>34</v>
      </c>
      <c r="G331" s="37" t="s">
        <v>49</v>
      </c>
      <c r="H331" s="39"/>
      <c r="I331" s="19"/>
      <c r="J331" s="19" t="str">
        <f t="array" ref="J331">IF($I331="","",IFERROR(INDEX(Legend!$C$41:$C$45,MATCH($I331,Legend!$B$41:$B$45,0)),""))</f>
        <v/>
      </c>
      <c r="K331" s="19"/>
    </row>
    <row r="332" ht="15.75" customHeight="1">
      <c r="A332" s="18">
        <v>328.0</v>
      </c>
      <c r="B332" s="19" t="s">
        <v>925</v>
      </c>
      <c r="C332" s="19" t="s">
        <v>1328</v>
      </c>
      <c r="D332" s="19" t="s">
        <v>1347</v>
      </c>
      <c r="E332" s="20" t="s">
        <v>33</v>
      </c>
      <c r="F332" s="31" t="s">
        <v>34</v>
      </c>
      <c r="G332" s="37" t="s">
        <v>49</v>
      </c>
      <c r="H332" s="39"/>
      <c r="I332" s="19"/>
      <c r="J332" s="19" t="str">
        <f t="array" ref="J332">IF($I332="","",IFERROR(INDEX(Legend!$C$41:$C$45,MATCH($I332,Legend!$B$41:$B$45,0)),""))</f>
        <v/>
      </c>
      <c r="K332" s="19"/>
    </row>
    <row r="333" ht="15.75" customHeight="1">
      <c r="A333" s="18">
        <v>329.0</v>
      </c>
      <c r="B333" s="19" t="s">
        <v>925</v>
      </c>
      <c r="C333" s="19" t="s">
        <v>1328</v>
      </c>
      <c r="D333" s="19" t="s">
        <v>1348</v>
      </c>
      <c r="E333" s="20" t="s">
        <v>33</v>
      </c>
      <c r="F333" s="31" t="s">
        <v>34</v>
      </c>
      <c r="G333" s="37" t="s">
        <v>49</v>
      </c>
      <c r="H333" s="39"/>
      <c r="I333" s="19"/>
      <c r="J333" s="19" t="str">
        <f t="array" ref="J333">IF($I333="","",IFERROR(INDEX(Legend!$C$41:$C$45,MATCH($I333,Legend!$B$41:$B$45,0)),""))</f>
        <v/>
      </c>
      <c r="K333" s="19"/>
    </row>
    <row r="334" ht="15.75" customHeight="1">
      <c r="A334" s="18">
        <v>330.0</v>
      </c>
      <c r="B334" s="19" t="s">
        <v>925</v>
      </c>
      <c r="C334" s="19" t="s">
        <v>1328</v>
      </c>
      <c r="D334" s="19" t="s">
        <v>1350</v>
      </c>
      <c r="E334" s="53" t="s">
        <v>42</v>
      </c>
      <c r="F334" s="48" t="s">
        <v>77</v>
      </c>
      <c r="G334" s="37" t="s">
        <v>49</v>
      </c>
      <c r="H334" s="39" t="s">
        <v>1352</v>
      </c>
      <c r="I334" s="19"/>
      <c r="J334" s="19" t="str">
        <f t="array" ref="J334">IF($I334="","",IFERROR(INDEX(Legend!$C$41:$C$45,MATCH($I334,Legend!$B$41:$B$45,0)),""))</f>
        <v/>
      </c>
      <c r="K334" s="19"/>
    </row>
    <row r="335" ht="15.75" customHeight="1">
      <c r="A335" s="18">
        <v>331.0</v>
      </c>
      <c r="B335" s="19" t="s">
        <v>925</v>
      </c>
      <c r="C335" s="19" t="s">
        <v>1328</v>
      </c>
      <c r="D335" s="19" t="s">
        <v>1353</v>
      </c>
      <c r="E335" s="53" t="s">
        <v>42</v>
      </c>
      <c r="F335" s="54" t="s">
        <v>46</v>
      </c>
      <c r="G335" s="61" t="s">
        <v>47</v>
      </c>
      <c r="H335" s="39"/>
      <c r="I335" s="19"/>
      <c r="J335" s="19" t="str">
        <f t="array" ref="J335">IF($I335="","",IFERROR(INDEX(Legend!$C$41:$C$45,MATCH($I335,Legend!$B$41:$B$45,0)),""))</f>
        <v/>
      </c>
      <c r="K335" s="19"/>
    </row>
    <row r="336" ht="15.75" customHeight="1">
      <c r="A336" s="18">
        <v>332.0</v>
      </c>
      <c r="B336" s="19" t="s">
        <v>925</v>
      </c>
      <c r="C336" s="19" t="s">
        <v>1357</v>
      </c>
      <c r="D336" s="19" t="s">
        <v>1358</v>
      </c>
      <c r="E336" s="20" t="s">
        <v>33</v>
      </c>
      <c r="F336" s="48" t="s">
        <v>77</v>
      </c>
      <c r="G336" s="37" t="s">
        <v>49</v>
      </c>
      <c r="H336" s="39"/>
      <c r="I336" s="19"/>
      <c r="J336" s="19" t="str">
        <f t="array" ref="J336">IF($I336="","",IFERROR(INDEX(Legend!$C$41:$C$45,MATCH($I336,Legend!$B$41:$B$45,0)),""))</f>
        <v/>
      </c>
      <c r="K336" s="19"/>
    </row>
    <row r="337" ht="15.75" customHeight="1">
      <c r="A337" s="18">
        <v>333.0</v>
      </c>
      <c r="B337" s="19" t="s">
        <v>925</v>
      </c>
      <c r="C337" s="19" t="s">
        <v>1357</v>
      </c>
      <c r="D337" s="19" t="s">
        <v>1359</v>
      </c>
      <c r="E337" s="53" t="s">
        <v>42</v>
      </c>
      <c r="F337" s="31" t="s">
        <v>34</v>
      </c>
      <c r="G337" s="46" t="s">
        <v>50</v>
      </c>
      <c r="H337" s="39"/>
      <c r="I337" s="19"/>
      <c r="J337" s="19" t="str">
        <f t="array" ref="J337">IF($I337="","",IFERROR(INDEX(Legend!$C$41:$C$45,MATCH($I337,Legend!$B$41:$B$45,0)),""))</f>
        <v/>
      </c>
      <c r="K337" s="19"/>
    </row>
    <row r="338" ht="15.75" customHeight="1">
      <c r="A338" s="18">
        <v>334.0</v>
      </c>
      <c r="B338" s="19" t="s">
        <v>925</v>
      </c>
      <c r="C338" s="19" t="s">
        <v>1357</v>
      </c>
      <c r="D338" s="19" t="s">
        <v>1362</v>
      </c>
      <c r="E338" s="20" t="s">
        <v>33</v>
      </c>
      <c r="F338" s="31" t="s">
        <v>34</v>
      </c>
      <c r="G338" s="37" t="s">
        <v>49</v>
      </c>
      <c r="H338" s="39" t="s">
        <v>1363</v>
      </c>
      <c r="I338" s="19"/>
      <c r="J338" s="19" t="str">
        <f t="array" ref="J338">IF($I338="","",IFERROR(INDEX(Legend!$C$41:$C$45,MATCH($I338,Legend!$B$41:$B$45,0)),""))</f>
        <v/>
      </c>
      <c r="K338" s="19"/>
    </row>
    <row r="339" ht="15.75" customHeight="1">
      <c r="A339" s="18">
        <v>335.0</v>
      </c>
      <c r="B339" s="19" t="s">
        <v>925</v>
      </c>
      <c r="C339" s="19" t="s">
        <v>1357</v>
      </c>
      <c r="D339" s="19" t="s">
        <v>1364</v>
      </c>
      <c r="E339" s="20" t="s">
        <v>33</v>
      </c>
      <c r="F339" s="48" t="s">
        <v>77</v>
      </c>
      <c r="G339" s="37" t="s">
        <v>49</v>
      </c>
      <c r="H339" s="39"/>
      <c r="I339" s="19"/>
      <c r="J339" s="19" t="str">
        <f t="array" ref="J339">IF($I339="","",IFERROR(INDEX(Legend!$C$41:$C$45,MATCH($I339,Legend!$B$41:$B$45,0)),""))</f>
        <v/>
      </c>
      <c r="K339" s="19"/>
    </row>
    <row r="340" ht="15.75" customHeight="1">
      <c r="A340" s="18">
        <v>336.0</v>
      </c>
      <c r="B340" s="19" t="s">
        <v>925</v>
      </c>
      <c r="C340" s="19" t="s">
        <v>1357</v>
      </c>
      <c r="D340" s="19" t="s">
        <v>1366</v>
      </c>
      <c r="E340" s="53" t="s">
        <v>42</v>
      </c>
      <c r="F340" s="31" t="s">
        <v>34</v>
      </c>
      <c r="G340" s="37" t="s">
        <v>49</v>
      </c>
      <c r="H340" s="39"/>
      <c r="I340" s="19"/>
      <c r="J340" s="19" t="str">
        <f t="array" ref="J340">IF($I340="","",IFERROR(INDEX(Legend!$C$41:$C$45,MATCH($I340,Legend!$B$41:$B$45,0)),""))</f>
        <v/>
      </c>
      <c r="K340" s="19"/>
    </row>
    <row r="341" ht="15.75" customHeight="1">
      <c r="A341" s="18">
        <v>337.0</v>
      </c>
      <c r="B341" s="19" t="s">
        <v>925</v>
      </c>
      <c r="C341" s="19" t="s">
        <v>1357</v>
      </c>
      <c r="D341" s="19" t="s">
        <v>1368</v>
      </c>
      <c r="E341" s="53" t="s">
        <v>42</v>
      </c>
      <c r="F341" s="48" t="s">
        <v>77</v>
      </c>
      <c r="G341" s="37" t="s">
        <v>49</v>
      </c>
      <c r="H341" s="39" t="s">
        <v>1369</v>
      </c>
      <c r="I341" s="19"/>
      <c r="J341" s="19" t="str">
        <f t="array" ref="J341">IF($I341="","",IFERROR(INDEX(Legend!$C$41:$C$45,MATCH($I341,Legend!$B$41:$B$45,0)),""))</f>
        <v/>
      </c>
      <c r="K341" s="19"/>
    </row>
    <row r="342" ht="15.75" customHeight="1">
      <c r="A342" s="18">
        <v>338.0</v>
      </c>
      <c r="B342" s="19" t="s">
        <v>925</v>
      </c>
      <c r="C342" s="19" t="s">
        <v>1357</v>
      </c>
      <c r="D342" s="19" t="s">
        <v>1371</v>
      </c>
      <c r="E342" s="53" t="s">
        <v>42</v>
      </c>
      <c r="F342" s="31" t="s">
        <v>34</v>
      </c>
      <c r="G342" s="37" t="s">
        <v>49</v>
      </c>
      <c r="H342" s="39"/>
      <c r="I342" s="19"/>
      <c r="J342" s="19" t="str">
        <f t="array" ref="J342">IF($I342="","",IFERROR(INDEX(Legend!$C$41:$C$45,MATCH($I342,Legend!$B$41:$B$45,0)),""))</f>
        <v/>
      </c>
      <c r="K342" s="19"/>
    </row>
    <row r="343" ht="15.75" customHeight="1">
      <c r="A343" s="18">
        <v>339.0</v>
      </c>
      <c r="B343" s="19" t="s">
        <v>925</v>
      </c>
      <c r="C343" s="19" t="s">
        <v>1357</v>
      </c>
      <c r="D343" s="19" t="s">
        <v>1373</v>
      </c>
      <c r="E343" s="53" t="s">
        <v>42</v>
      </c>
      <c r="F343" s="31" t="s">
        <v>34</v>
      </c>
      <c r="G343" s="37" t="s">
        <v>49</v>
      </c>
      <c r="H343" s="39" t="s">
        <v>1374</v>
      </c>
      <c r="I343" s="19"/>
      <c r="J343" s="19" t="str">
        <f t="array" ref="J343">IF($I343="","",IFERROR(INDEX(Legend!$C$41:$C$45,MATCH($I343,Legend!$B$41:$B$45,0)),""))</f>
        <v/>
      </c>
      <c r="K343" s="19"/>
    </row>
    <row r="344" ht="15.75" customHeight="1">
      <c r="A344" s="18">
        <v>340.0</v>
      </c>
      <c r="B344" s="19" t="s">
        <v>925</v>
      </c>
      <c r="C344" s="19" t="s">
        <v>1357</v>
      </c>
      <c r="D344" s="19" t="s">
        <v>1377</v>
      </c>
      <c r="E344" s="20" t="s">
        <v>33</v>
      </c>
      <c r="F344" s="31" t="s">
        <v>34</v>
      </c>
      <c r="G344" s="37" t="s">
        <v>49</v>
      </c>
      <c r="H344" s="39"/>
      <c r="I344" s="19"/>
      <c r="J344" s="19" t="str">
        <f t="array" ref="J344">IF($I344="","",IFERROR(INDEX(Legend!$C$41:$C$45,MATCH($I344,Legend!$B$41:$B$45,0)),""))</f>
        <v/>
      </c>
      <c r="K344" s="19"/>
    </row>
    <row r="345" ht="15.75" customHeight="1">
      <c r="A345" s="18">
        <v>341.0</v>
      </c>
      <c r="B345" s="19" t="s">
        <v>925</v>
      </c>
      <c r="C345" s="19" t="s">
        <v>1357</v>
      </c>
      <c r="D345" s="19" t="s">
        <v>1378</v>
      </c>
      <c r="E345" s="20" t="s">
        <v>33</v>
      </c>
      <c r="F345" s="31" t="s">
        <v>34</v>
      </c>
      <c r="G345" s="37" t="s">
        <v>49</v>
      </c>
      <c r="H345" s="39"/>
      <c r="I345" s="19"/>
      <c r="J345" s="19" t="str">
        <f t="array" ref="J345">IF($I345="","",IFERROR(INDEX(Legend!$C$41:$C$45,MATCH($I345,Legend!$B$41:$B$45,0)),""))</f>
        <v/>
      </c>
      <c r="K345" s="19"/>
    </row>
    <row r="346" ht="15.75" customHeight="1">
      <c r="A346" s="18">
        <v>342.0</v>
      </c>
      <c r="B346" s="19" t="s">
        <v>925</v>
      </c>
      <c r="C346" s="19" t="s">
        <v>1357</v>
      </c>
      <c r="D346" s="19" t="s">
        <v>1381</v>
      </c>
      <c r="E346" s="20" t="s">
        <v>33</v>
      </c>
      <c r="F346" s="31" t="s">
        <v>34</v>
      </c>
      <c r="G346" s="37" t="s">
        <v>49</v>
      </c>
      <c r="H346" s="39"/>
      <c r="I346" s="19"/>
      <c r="J346" s="19" t="str">
        <f t="array" ref="J346">IF($I346="","",IFERROR(INDEX(Legend!$C$41:$C$45,MATCH($I346,Legend!$B$41:$B$45,0)),""))</f>
        <v/>
      </c>
      <c r="K346" s="19"/>
    </row>
    <row r="347" ht="15.75" customHeight="1">
      <c r="A347" s="18">
        <v>343.0</v>
      </c>
      <c r="B347" s="19" t="s">
        <v>925</v>
      </c>
      <c r="C347" s="19" t="s">
        <v>1357</v>
      </c>
      <c r="D347" s="19" t="s">
        <v>1382</v>
      </c>
      <c r="E347" s="53" t="s">
        <v>42</v>
      </c>
      <c r="F347" s="31" t="s">
        <v>34</v>
      </c>
      <c r="G347" s="37" t="s">
        <v>49</v>
      </c>
      <c r="H347" s="39" t="s">
        <v>1383</v>
      </c>
      <c r="I347" s="19"/>
      <c r="J347" s="19" t="str">
        <f t="array" ref="J347">IF($I347="","",IFERROR(INDEX(Legend!$C$41:$C$45,MATCH($I347,Legend!$B$41:$B$45,0)),""))</f>
        <v/>
      </c>
      <c r="K347" s="19"/>
    </row>
    <row r="348" ht="15.75" customHeight="1">
      <c r="A348" s="18">
        <v>344.0</v>
      </c>
      <c r="B348" s="19" t="s">
        <v>925</v>
      </c>
      <c r="C348" s="19" t="s">
        <v>1357</v>
      </c>
      <c r="D348" s="19" t="s">
        <v>1386</v>
      </c>
      <c r="E348" s="53" t="s">
        <v>42</v>
      </c>
      <c r="F348" s="31" t="s">
        <v>34</v>
      </c>
      <c r="G348" s="37" t="s">
        <v>49</v>
      </c>
      <c r="H348" s="39" t="s">
        <v>1387</v>
      </c>
      <c r="I348" s="19"/>
      <c r="J348" s="19" t="str">
        <f t="array" ref="J348">IF($I348="","",IFERROR(INDEX(Legend!$C$41:$C$45,MATCH($I348,Legend!$B$41:$B$45,0)),""))</f>
        <v/>
      </c>
      <c r="K348" s="19"/>
    </row>
    <row r="349" ht="15.75" customHeight="1">
      <c r="A349" s="18">
        <v>345.0</v>
      </c>
      <c r="B349" s="19" t="s">
        <v>925</v>
      </c>
      <c r="C349" s="19" t="s">
        <v>1357</v>
      </c>
      <c r="D349" s="19" t="s">
        <v>1390</v>
      </c>
      <c r="E349" s="53" t="s">
        <v>42</v>
      </c>
      <c r="F349" s="31" t="s">
        <v>34</v>
      </c>
      <c r="G349" s="37" t="s">
        <v>49</v>
      </c>
      <c r="H349" s="39" t="s">
        <v>1391</v>
      </c>
      <c r="I349" s="19"/>
      <c r="J349" s="19" t="str">
        <f t="array" ref="J349">IF($I349="","",IFERROR(INDEX(Legend!$C$41:$C$45,MATCH($I349,Legend!$B$41:$B$45,0)),""))</f>
        <v/>
      </c>
      <c r="K349" s="19"/>
    </row>
    <row r="350" ht="15.75" customHeight="1">
      <c r="A350" s="18">
        <v>346.0</v>
      </c>
      <c r="B350" s="19" t="s">
        <v>925</v>
      </c>
      <c r="C350" s="19" t="s">
        <v>1357</v>
      </c>
      <c r="D350" s="19" t="s">
        <v>1392</v>
      </c>
      <c r="E350" s="53" t="s">
        <v>42</v>
      </c>
      <c r="F350" s="31" t="s">
        <v>34</v>
      </c>
      <c r="G350" s="46" t="s">
        <v>50</v>
      </c>
      <c r="H350" s="39"/>
      <c r="I350" s="19"/>
      <c r="J350" s="19" t="str">
        <f t="array" ref="J350">IF($I350="","",IFERROR(INDEX(Legend!$C$41:$C$45,MATCH($I350,Legend!$B$41:$B$45,0)),""))</f>
        <v/>
      </c>
      <c r="K350" s="19"/>
    </row>
    <row r="351" ht="15.75" customHeight="1">
      <c r="A351" s="18">
        <v>347.0</v>
      </c>
      <c r="B351" s="19" t="s">
        <v>925</v>
      </c>
      <c r="C351" s="19" t="s">
        <v>1357</v>
      </c>
      <c r="D351" s="19" t="s">
        <v>1395</v>
      </c>
      <c r="E351" s="53" t="s">
        <v>42</v>
      </c>
      <c r="F351" s="48" t="s">
        <v>77</v>
      </c>
      <c r="G351" s="37" t="s">
        <v>49</v>
      </c>
      <c r="H351" s="39" t="s">
        <v>1396</v>
      </c>
      <c r="I351" s="19"/>
      <c r="J351" s="19" t="str">
        <f t="array" ref="J351">IF($I351="","",IFERROR(INDEX(Legend!$C$41:$C$45,MATCH($I351,Legend!$B$41:$B$45,0)),""))</f>
        <v/>
      </c>
      <c r="K351" s="19"/>
    </row>
    <row r="352" ht="15.75" customHeight="1">
      <c r="A352" s="18">
        <v>348.0</v>
      </c>
      <c r="B352" s="19" t="s">
        <v>925</v>
      </c>
      <c r="C352" s="19" t="s">
        <v>1357</v>
      </c>
      <c r="D352" s="19" t="s">
        <v>1397</v>
      </c>
      <c r="E352" s="53" t="s">
        <v>42</v>
      </c>
      <c r="F352" s="31" t="s">
        <v>34</v>
      </c>
      <c r="G352" s="46" t="s">
        <v>50</v>
      </c>
      <c r="H352" s="39"/>
      <c r="I352" s="19"/>
      <c r="J352" s="19" t="str">
        <f t="array" ref="J352">IF($I352="","",IFERROR(INDEX(Legend!$C$41:$C$45,MATCH($I352,Legend!$B$41:$B$45,0)),""))</f>
        <v/>
      </c>
      <c r="K352" s="19"/>
    </row>
    <row r="353" ht="15.75" customHeight="1">
      <c r="A353" s="18">
        <v>349.0</v>
      </c>
      <c r="B353" s="19" t="s">
        <v>925</v>
      </c>
      <c r="C353" s="19" t="s">
        <v>1357</v>
      </c>
      <c r="D353" s="19" t="s">
        <v>1400</v>
      </c>
      <c r="E353" s="53" t="s">
        <v>42</v>
      </c>
      <c r="F353" s="31" t="s">
        <v>34</v>
      </c>
      <c r="G353" s="46" t="s">
        <v>50</v>
      </c>
      <c r="H353" s="39" t="s">
        <v>1401</v>
      </c>
      <c r="I353" s="19"/>
      <c r="J353" s="19" t="str">
        <f t="array" ref="J353">IF($I353="","",IFERROR(INDEX(Legend!$C$41:$C$45,MATCH($I353,Legend!$B$41:$B$45,0)),""))</f>
        <v/>
      </c>
      <c r="K353" s="19"/>
    </row>
    <row r="354" ht="15.75" customHeight="1">
      <c r="A354" s="18">
        <v>350.0</v>
      </c>
      <c r="B354" s="19" t="s">
        <v>925</v>
      </c>
      <c r="C354" s="19" t="s">
        <v>1357</v>
      </c>
      <c r="D354" s="19" t="s">
        <v>200</v>
      </c>
      <c r="E354" s="48" t="s">
        <v>43</v>
      </c>
      <c r="F354" s="54" t="s">
        <v>46</v>
      </c>
      <c r="G354" s="61" t="s">
        <v>47</v>
      </c>
      <c r="H354" s="39" t="s">
        <v>488</v>
      </c>
      <c r="I354" s="19"/>
      <c r="J354" s="19" t="str">
        <f t="array" ref="J354">IF($I354="","",IFERROR(INDEX(Legend!$C$41:$C$45,MATCH($I354,Legend!$B$41:$B$45,0)),""))</f>
        <v/>
      </c>
      <c r="K354" s="19"/>
    </row>
    <row r="355" ht="15.75" customHeight="1">
      <c r="A355" s="18">
        <v>351.0</v>
      </c>
      <c r="B355" s="19" t="s">
        <v>925</v>
      </c>
      <c r="C355" s="19" t="s">
        <v>1357</v>
      </c>
      <c r="D355" s="19" t="s">
        <v>1404</v>
      </c>
      <c r="E355" s="53" t="s">
        <v>42</v>
      </c>
      <c r="F355" s="31" t="s">
        <v>34</v>
      </c>
      <c r="G355" s="37" t="s">
        <v>49</v>
      </c>
      <c r="H355" s="39" t="s">
        <v>1405</v>
      </c>
      <c r="I355" s="19"/>
      <c r="J355" s="19" t="str">
        <f t="array" ref="J355">IF($I355="","",IFERROR(INDEX(Legend!$C$41:$C$45,MATCH($I355,Legend!$B$41:$B$45,0)),""))</f>
        <v/>
      </c>
      <c r="K355" s="19"/>
    </row>
    <row r="356" ht="15.75" customHeight="1">
      <c r="A356" s="18">
        <v>352.0</v>
      </c>
      <c r="B356" s="19" t="s">
        <v>925</v>
      </c>
      <c r="C356" s="19" t="s">
        <v>1357</v>
      </c>
      <c r="D356" s="19" t="s">
        <v>1407</v>
      </c>
      <c r="E356" s="53" t="s">
        <v>42</v>
      </c>
      <c r="F356" s="31" t="s">
        <v>34</v>
      </c>
      <c r="G356" s="37" t="s">
        <v>49</v>
      </c>
      <c r="H356" s="39" t="s">
        <v>1408</v>
      </c>
      <c r="I356" s="19"/>
      <c r="J356" s="19" t="str">
        <f t="array" ref="J356">IF($I356="","",IFERROR(INDEX(Legend!$C$41:$C$45,MATCH($I356,Legend!$B$41:$B$45,0)),""))</f>
        <v/>
      </c>
      <c r="K356" s="19"/>
    </row>
    <row r="357" ht="15.75" customHeight="1">
      <c r="A357" s="18">
        <v>353.0</v>
      </c>
      <c r="B357" s="19" t="s">
        <v>925</v>
      </c>
      <c r="C357" s="19" t="s">
        <v>1357</v>
      </c>
      <c r="D357" s="19" t="s">
        <v>1410</v>
      </c>
      <c r="E357" s="53" t="s">
        <v>42</v>
      </c>
      <c r="F357" s="48" t="s">
        <v>77</v>
      </c>
      <c r="G357" s="37" t="s">
        <v>49</v>
      </c>
      <c r="H357" s="39" t="s">
        <v>1411</v>
      </c>
      <c r="I357" s="19"/>
      <c r="J357" s="19" t="str">
        <f t="array" ref="J357">IF($I357="","",IFERROR(INDEX(Legend!$C$41:$C$45,MATCH($I357,Legend!$B$41:$B$45,0)),""))</f>
        <v/>
      </c>
      <c r="K357" s="19"/>
    </row>
    <row r="358" ht="15.75" customHeight="1">
      <c r="A358" s="18">
        <v>354.0</v>
      </c>
      <c r="B358" s="19" t="s">
        <v>925</v>
      </c>
      <c r="C358" s="19" t="s">
        <v>1357</v>
      </c>
      <c r="D358" s="19" t="s">
        <v>1414</v>
      </c>
      <c r="E358" s="53" t="s">
        <v>42</v>
      </c>
      <c r="F358" s="31" t="s">
        <v>34</v>
      </c>
      <c r="G358" s="46" t="s">
        <v>50</v>
      </c>
      <c r="H358" s="39"/>
      <c r="I358" s="19"/>
      <c r="J358" s="19" t="str">
        <f t="array" ref="J358">IF($I358="","",IFERROR(INDEX(Legend!$C$41:$C$45,MATCH($I358,Legend!$B$41:$B$45,0)),""))</f>
        <v/>
      </c>
      <c r="K358" s="19"/>
    </row>
    <row r="359" ht="15.75" customHeight="1">
      <c r="A359" s="18">
        <v>355.0</v>
      </c>
      <c r="B359" s="19" t="s">
        <v>925</v>
      </c>
      <c r="C359" s="19" t="s">
        <v>1415</v>
      </c>
      <c r="D359" s="19" t="s">
        <v>1416</v>
      </c>
      <c r="E359" s="20" t="s">
        <v>33</v>
      </c>
      <c r="F359" s="31" t="s">
        <v>34</v>
      </c>
      <c r="G359" s="37" t="s">
        <v>49</v>
      </c>
      <c r="H359" s="39" t="s">
        <v>1417</v>
      </c>
      <c r="I359" s="19"/>
      <c r="J359" s="19" t="str">
        <f t="array" ref="J359">IF($I359="","",IFERROR(INDEX(Legend!$C$41:$C$45,MATCH($I359,Legend!$B$41:$B$45,0)),""))</f>
        <v/>
      </c>
      <c r="K359" s="19"/>
    </row>
    <row r="360" ht="15.75" customHeight="1">
      <c r="A360" s="18">
        <v>356.0</v>
      </c>
      <c r="B360" s="19" t="s">
        <v>925</v>
      </c>
      <c r="C360" s="19" t="s">
        <v>1415</v>
      </c>
      <c r="D360" s="19" t="s">
        <v>1420</v>
      </c>
      <c r="E360" s="53" t="s">
        <v>42</v>
      </c>
      <c r="F360" s="48" t="s">
        <v>77</v>
      </c>
      <c r="G360" s="37" t="s">
        <v>49</v>
      </c>
      <c r="H360" s="39" t="s">
        <v>1421</v>
      </c>
      <c r="I360" s="19"/>
      <c r="J360" s="19" t="str">
        <f t="array" ref="J360">IF($I360="","",IFERROR(INDEX(Legend!$C$41:$C$45,MATCH($I360,Legend!$B$41:$B$45,0)),""))</f>
        <v/>
      </c>
      <c r="K360" s="19"/>
    </row>
    <row r="361" ht="15.75" customHeight="1">
      <c r="A361" s="18">
        <v>357.0</v>
      </c>
      <c r="B361" s="19" t="s">
        <v>925</v>
      </c>
      <c r="C361" s="19" t="s">
        <v>1415</v>
      </c>
      <c r="D361" s="19" t="s">
        <v>1422</v>
      </c>
      <c r="E361" s="53" t="s">
        <v>42</v>
      </c>
      <c r="F361" s="31" t="s">
        <v>34</v>
      </c>
      <c r="G361" s="37" t="s">
        <v>49</v>
      </c>
      <c r="H361" s="39" t="s">
        <v>1424</v>
      </c>
      <c r="I361" s="19"/>
      <c r="J361" s="19" t="str">
        <f t="array" ref="J361">IF($I361="","",IFERROR(INDEX(Legend!$C$41:$C$45,MATCH($I361,Legend!$B$41:$B$45,0)),""))</f>
        <v/>
      </c>
      <c r="K361" s="19"/>
    </row>
    <row r="362" ht="15.75" customHeight="1">
      <c r="A362" s="18">
        <v>358.0</v>
      </c>
      <c r="B362" s="19" t="s">
        <v>925</v>
      </c>
      <c r="C362" s="19" t="s">
        <v>1415</v>
      </c>
      <c r="D362" s="19" t="s">
        <v>1426</v>
      </c>
      <c r="E362" s="53" t="s">
        <v>42</v>
      </c>
      <c r="F362" s="31" t="s">
        <v>34</v>
      </c>
      <c r="G362" s="37" t="s">
        <v>49</v>
      </c>
      <c r="H362" s="39"/>
      <c r="I362" s="19"/>
      <c r="J362" s="19" t="str">
        <f t="array" ref="J362">IF($I362="","",IFERROR(INDEX(Legend!$C$41:$C$45,MATCH($I362,Legend!$B$41:$B$45,0)),""))</f>
        <v/>
      </c>
      <c r="K362" s="19"/>
    </row>
    <row r="363" ht="15.75" customHeight="1">
      <c r="A363" s="18">
        <v>359.0</v>
      </c>
      <c r="B363" s="19" t="s">
        <v>925</v>
      </c>
      <c r="C363" s="19" t="s">
        <v>1415</v>
      </c>
      <c r="D363" s="19" t="s">
        <v>1429</v>
      </c>
      <c r="E363" s="53" t="s">
        <v>42</v>
      </c>
      <c r="F363" s="31" t="s">
        <v>34</v>
      </c>
      <c r="G363" s="37" t="s">
        <v>49</v>
      </c>
      <c r="H363" s="39"/>
      <c r="I363" s="19"/>
      <c r="J363" s="19" t="str">
        <f t="array" ref="J363">IF($I363="","",IFERROR(INDEX(Legend!$C$41:$C$45,MATCH($I363,Legend!$B$41:$B$45,0)),""))</f>
        <v/>
      </c>
      <c r="K363" s="19"/>
    </row>
    <row r="364" ht="15.75" customHeight="1">
      <c r="A364" s="18">
        <v>360.0</v>
      </c>
      <c r="B364" s="19" t="s">
        <v>925</v>
      </c>
      <c r="C364" s="19" t="s">
        <v>1415</v>
      </c>
      <c r="D364" s="19" t="s">
        <v>1430</v>
      </c>
      <c r="E364" s="53" t="s">
        <v>42</v>
      </c>
      <c r="F364" s="31" t="s">
        <v>34</v>
      </c>
      <c r="G364" s="46" t="s">
        <v>50</v>
      </c>
      <c r="H364" s="39" t="s">
        <v>1431</v>
      </c>
      <c r="I364" s="19"/>
      <c r="J364" s="19" t="str">
        <f t="array" ref="J364">IF($I364="","",IFERROR(INDEX(Legend!$C$41:$C$45,MATCH($I364,Legend!$B$41:$B$45,0)),""))</f>
        <v/>
      </c>
      <c r="K364" s="19"/>
    </row>
    <row r="365" ht="15.75" customHeight="1">
      <c r="A365" s="18">
        <v>361.0</v>
      </c>
      <c r="B365" s="19" t="s">
        <v>925</v>
      </c>
      <c r="C365" s="19" t="s">
        <v>1434</v>
      </c>
      <c r="D365" s="19" t="s">
        <v>1435</v>
      </c>
      <c r="E365" s="20" t="s">
        <v>33</v>
      </c>
      <c r="F365" s="48" t="s">
        <v>77</v>
      </c>
      <c r="G365" s="37" t="s">
        <v>49</v>
      </c>
      <c r="H365" s="39" t="s">
        <v>1436</v>
      </c>
      <c r="I365" s="19"/>
      <c r="J365" s="19" t="str">
        <f t="array" ref="J365">IF($I365="","",IFERROR(INDEX(Legend!$C$41:$C$45,MATCH($I365,Legend!$B$41:$B$45,0)),""))</f>
        <v/>
      </c>
      <c r="K365" s="19"/>
    </row>
    <row r="366" ht="15.75" customHeight="1">
      <c r="A366" s="18">
        <v>362.0</v>
      </c>
      <c r="B366" s="19" t="s">
        <v>925</v>
      </c>
      <c r="C366" s="19" t="s">
        <v>1434</v>
      </c>
      <c r="D366" s="19" t="s">
        <v>1437</v>
      </c>
      <c r="E366" s="20" t="s">
        <v>33</v>
      </c>
      <c r="F366" s="31" t="s">
        <v>34</v>
      </c>
      <c r="G366" s="37" t="s">
        <v>49</v>
      </c>
      <c r="H366" s="39"/>
      <c r="I366" s="19"/>
      <c r="J366" s="19" t="str">
        <f t="array" ref="J366">IF($I366="","",IFERROR(INDEX(Legend!$C$41:$C$45,MATCH($I366,Legend!$B$41:$B$45,0)),""))</f>
        <v/>
      </c>
      <c r="K366" s="19"/>
    </row>
    <row r="367" ht="15.75" customHeight="1">
      <c r="A367" s="18">
        <v>363.0</v>
      </c>
      <c r="B367" s="19" t="s">
        <v>925</v>
      </c>
      <c r="C367" s="19" t="s">
        <v>1434</v>
      </c>
      <c r="D367" s="19" t="s">
        <v>1440</v>
      </c>
      <c r="E367" s="53" t="s">
        <v>42</v>
      </c>
      <c r="F367" s="31" t="s">
        <v>34</v>
      </c>
      <c r="G367" s="37" t="s">
        <v>49</v>
      </c>
      <c r="H367" s="39"/>
      <c r="I367" s="19"/>
      <c r="J367" s="19" t="str">
        <f t="array" ref="J367">IF($I367="","",IFERROR(INDEX(Legend!$C$41:$C$45,MATCH($I367,Legend!$B$41:$B$45,0)),""))</f>
        <v/>
      </c>
      <c r="K367" s="19"/>
    </row>
    <row r="368" ht="15.75" customHeight="1">
      <c r="A368" s="18">
        <v>364.0</v>
      </c>
      <c r="B368" s="19" t="s">
        <v>925</v>
      </c>
      <c r="C368" s="19" t="s">
        <v>1434</v>
      </c>
      <c r="D368" s="19" t="s">
        <v>1441</v>
      </c>
      <c r="E368" s="53" t="s">
        <v>42</v>
      </c>
      <c r="F368" s="31" t="s">
        <v>34</v>
      </c>
      <c r="G368" s="37" t="s">
        <v>49</v>
      </c>
      <c r="H368" s="39"/>
      <c r="I368" s="19"/>
      <c r="J368" s="19" t="str">
        <f t="array" ref="J368">IF($I368="","",IFERROR(INDEX(Legend!$C$41:$C$45,MATCH($I368,Legend!$B$41:$B$45,0)),""))</f>
        <v/>
      </c>
      <c r="K368" s="19"/>
    </row>
    <row r="369" ht="15.75" customHeight="1">
      <c r="A369" s="18">
        <v>365.0</v>
      </c>
      <c r="B369" s="19" t="s">
        <v>925</v>
      </c>
      <c r="C369" s="19" t="s">
        <v>1434</v>
      </c>
      <c r="D369" s="19" t="s">
        <v>1444</v>
      </c>
      <c r="E369" s="20" t="s">
        <v>33</v>
      </c>
      <c r="F369" s="31" t="s">
        <v>34</v>
      </c>
      <c r="G369" s="37" t="s">
        <v>49</v>
      </c>
      <c r="H369" s="39"/>
      <c r="I369" s="19"/>
      <c r="J369" s="19" t="str">
        <f t="array" ref="J369">IF($I369="","",IFERROR(INDEX(Legend!$C$41:$C$45,MATCH($I369,Legend!$B$41:$B$45,0)),""))</f>
        <v/>
      </c>
      <c r="K369" s="19"/>
    </row>
    <row r="370" ht="15.75" customHeight="1">
      <c r="A370" s="18">
        <v>366.0</v>
      </c>
      <c r="B370" s="19" t="s">
        <v>925</v>
      </c>
      <c r="C370" s="19" t="s">
        <v>1434</v>
      </c>
      <c r="D370" s="19" t="s">
        <v>1446</v>
      </c>
      <c r="E370" s="53" t="s">
        <v>42</v>
      </c>
      <c r="F370" s="31" t="s">
        <v>34</v>
      </c>
      <c r="G370" s="37" t="s">
        <v>49</v>
      </c>
      <c r="H370" s="39"/>
      <c r="I370" s="19"/>
      <c r="J370" s="19" t="str">
        <f t="array" ref="J370">IF($I370="","",IFERROR(INDEX(Legend!$C$41:$C$45,MATCH($I370,Legend!$B$41:$B$45,0)),""))</f>
        <v/>
      </c>
      <c r="K370" s="19"/>
    </row>
    <row r="371" ht="15.75" customHeight="1">
      <c r="A371" s="18">
        <v>367.0</v>
      </c>
      <c r="B371" s="19" t="s">
        <v>925</v>
      </c>
      <c r="C371" s="19" t="s">
        <v>1434</v>
      </c>
      <c r="D371" s="19" t="s">
        <v>1448</v>
      </c>
      <c r="E371" s="53" t="s">
        <v>42</v>
      </c>
      <c r="F371" s="48" t="s">
        <v>77</v>
      </c>
      <c r="G371" s="37" t="s">
        <v>49</v>
      </c>
      <c r="H371" s="39" t="s">
        <v>1449</v>
      </c>
      <c r="I371" s="19"/>
      <c r="J371" s="19" t="str">
        <f t="array" ref="J371">IF($I371="","",IFERROR(INDEX(Legend!$C$41:$C$45,MATCH($I371,Legend!$B$41:$B$45,0)),""))</f>
        <v/>
      </c>
      <c r="K371" s="19"/>
    </row>
    <row r="372" ht="15.75" customHeight="1">
      <c r="A372" s="18">
        <v>368.0</v>
      </c>
      <c r="B372" s="19" t="s">
        <v>925</v>
      </c>
      <c r="C372" s="19" t="s">
        <v>1434</v>
      </c>
      <c r="D372" s="19" t="s">
        <v>1450</v>
      </c>
      <c r="E372" s="53" t="s">
        <v>42</v>
      </c>
      <c r="F372" s="48" t="s">
        <v>77</v>
      </c>
      <c r="G372" s="37" t="s">
        <v>49</v>
      </c>
      <c r="H372" s="39" t="s">
        <v>1451</v>
      </c>
      <c r="I372" s="19"/>
      <c r="J372" s="19" t="str">
        <f t="array" ref="J372">IF($I372="","",IFERROR(INDEX(Legend!$C$41:$C$45,MATCH($I372,Legend!$B$41:$B$45,0)),""))</f>
        <v/>
      </c>
      <c r="K372" s="19"/>
    </row>
    <row r="373" ht="15.75" customHeight="1">
      <c r="A373" s="18">
        <v>369.0</v>
      </c>
      <c r="B373" s="19" t="s">
        <v>925</v>
      </c>
      <c r="C373" s="19" t="s">
        <v>1434</v>
      </c>
      <c r="D373" s="19" t="s">
        <v>1454</v>
      </c>
      <c r="E373" s="53" t="s">
        <v>42</v>
      </c>
      <c r="F373" s="31" t="s">
        <v>34</v>
      </c>
      <c r="G373" s="46" t="s">
        <v>50</v>
      </c>
      <c r="H373" s="39"/>
      <c r="I373" s="19"/>
      <c r="J373" s="19" t="str">
        <f t="array" ref="J373">IF($I373="","",IFERROR(INDEX(Legend!$C$41:$C$45,MATCH($I373,Legend!$B$41:$B$45,0)),""))</f>
        <v/>
      </c>
      <c r="K373" s="19"/>
    </row>
    <row r="374" ht="15.75" customHeight="1">
      <c r="A374" s="18">
        <v>370.0</v>
      </c>
      <c r="B374" s="19" t="s">
        <v>925</v>
      </c>
      <c r="C374" s="19" t="s">
        <v>1434</v>
      </c>
      <c r="D374" s="19" t="s">
        <v>1455</v>
      </c>
      <c r="E374" s="53" t="s">
        <v>42</v>
      </c>
      <c r="F374" s="31" t="s">
        <v>34</v>
      </c>
      <c r="G374" s="46" t="s">
        <v>50</v>
      </c>
      <c r="H374" s="39" t="s">
        <v>1456</v>
      </c>
      <c r="I374" s="19"/>
      <c r="J374" s="19" t="str">
        <f t="array" ref="J374">IF($I374="","",IFERROR(INDEX(Legend!$C$41:$C$45,MATCH($I374,Legend!$B$41:$B$45,0)),""))</f>
        <v/>
      </c>
      <c r="K374" s="19"/>
    </row>
    <row r="375" ht="15.75" customHeight="1">
      <c r="A375" s="18">
        <v>371.0</v>
      </c>
      <c r="B375" s="19" t="s">
        <v>925</v>
      </c>
      <c r="C375" s="19" t="s">
        <v>1434</v>
      </c>
      <c r="D375" s="19" t="s">
        <v>1459</v>
      </c>
      <c r="E375" s="53" t="s">
        <v>42</v>
      </c>
      <c r="F375" s="48" t="s">
        <v>77</v>
      </c>
      <c r="G375" s="46" t="s">
        <v>50</v>
      </c>
      <c r="H375" s="39"/>
      <c r="I375" s="19"/>
      <c r="J375" s="19" t="str">
        <f t="array" ref="J375">IF($I375="","",IFERROR(INDEX(Legend!$C$41:$C$45,MATCH($I375,Legend!$B$41:$B$45,0)),""))</f>
        <v/>
      </c>
      <c r="K375" s="19"/>
    </row>
    <row r="376" ht="15.75" customHeight="1">
      <c r="A376" s="18">
        <v>372.0</v>
      </c>
      <c r="B376" s="19" t="s">
        <v>925</v>
      </c>
      <c r="C376" s="19" t="s">
        <v>1434</v>
      </c>
      <c r="D376" s="19" t="s">
        <v>1460</v>
      </c>
      <c r="E376" s="53" t="s">
        <v>42</v>
      </c>
      <c r="F376" s="54" t="s">
        <v>46</v>
      </c>
      <c r="G376" s="61" t="s">
        <v>47</v>
      </c>
      <c r="H376" s="39" t="s">
        <v>1461</v>
      </c>
      <c r="I376" s="19"/>
      <c r="J376" s="19" t="str">
        <f t="array" ref="J376">IF($I376="","",IFERROR(INDEX(Legend!$C$41:$C$45,MATCH($I376,Legend!$B$41:$B$45,0)),""))</f>
        <v/>
      </c>
      <c r="K376" s="19"/>
    </row>
    <row r="377" ht="15.75" customHeight="1">
      <c r="A377" s="18">
        <v>373.0</v>
      </c>
      <c r="B377" s="19" t="s">
        <v>925</v>
      </c>
      <c r="C377" s="19" t="s">
        <v>1434</v>
      </c>
      <c r="D377" s="19" t="s">
        <v>1464</v>
      </c>
      <c r="E377" s="53" t="s">
        <v>42</v>
      </c>
      <c r="F377" s="31" t="s">
        <v>34</v>
      </c>
      <c r="G377" s="37" t="s">
        <v>49</v>
      </c>
      <c r="H377" s="39"/>
      <c r="I377" s="19"/>
      <c r="J377" s="19" t="str">
        <f t="array" ref="J377">IF($I377="","",IFERROR(INDEX(Legend!$C$41:$C$45,MATCH($I377,Legend!$B$41:$B$45,0)),""))</f>
        <v/>
      </c>
      <c r="K377" s="19"/>
    </row>
    <row r="378" ht="15.75" customHeight="1">
      <c r="A378" s="18">
        <v>374.0</v>
      </c>
      <c r="B378" s="19" t="s">
        <v>925</v>
      </c>
      <c r="C378" s="19" t="s">
        <v>1434</v>
      </c>
      <c r="D378" s="19" t="s">
        <v>1466</v>
      </c>
      <c r="E378" s="53" t="s">
        <v>42</v>
      </c>
      <c r="F378" s="48" t="s">
        <v>77</v>
      </c>
      <c r="G378" s="37" t="s">
        <v>49</v>
      </c>
      <c r="H378" s="39" t="s">
        <v>1467</v>
      </c>
      <c r="I378" s="19"/>
      <c r="J378" s="19" t="str">
        <f t="array" ref="J378">IF($I378="","",IFERROR(INDEX(Legend!$C$41:$C$45,MATCH($I378,Legend!$B$41:$B$45,0)),""))</f>
        <v/>
      </c>
      <c r="K378" s="19"/>
    </row>
    <row r="379" ht="15.75" customHeight="1">
      <c r="A379" s="18">
        <v>375.0</v>
      </c>
      <c r="B379" s="19" t="s">
        <v>925</v>
      </c>
      <c r="C379" s="19" t="s">
        <v>1434</v>
      </c>
      <c r="D379" s="19" t="s">
        <v>1469</v>
      </c>
      <c r="E379" s="53" t="s">
        <v>42</v>
      </c>
      <c r="F379" s="31" t="s">
        <v>34</v>
      </c>
      <c r="G379" s="37" t="s">
        <v>49</v>
      </c>
      <c r="H379" s="39" t="s">
        <v>1470</v>
      </c>
      <c r="I379" s="19"/>
      <c r="J379" s="19" t="str">
        <f t="array" ref="J379">IF($I379="","",IFERROR(INDEX(Legend!$C$41:$C$45,MATCH($I379,Legend!$B$41:$B$45,0)),""))</f>
        <v/>
      </c>
      <c r="K379" s="19"/>
    </row>
    <row r="380" ht="15.75" customHeight="1">
      <c r="A380" s="18">
        <v>376.0</v>
      </c>
      <c r="B380" s="19" t="s">
        <v>925</v>
      </c>
      <c r="C380" s="19" t="s">
        <v>1434</v>
      </c>
      <c r="D380" s="19" t="s">
        <v>1473</v>
      </c>
      <c r="E380" s="53" t="s">
        <v>42</v>
      </c>
      <c r="F380" s="31" t="s">
        <v>34</v>
      </c>
      <c r="G380" s="46" t="s">
        <v>50</v>
      </c>
      <c r="H380" s="39" t="s">
        <v>1474</v>
      </c>
      <c r="I380" s="19"/>
      <c r="J380" s="19" t="str">
        <f t="array" ref="J380">IF($I380="","",IFERROR(INDEX(Legend!$C$41:$C$45,MATCH($I380,Legend!$B$41:$B$45,0)),""))</f>
        <v/>
      </c>
      <c r="K380" s="19"/>
    </row>
    <row r="381" ht="15.75" customHeight="1">
      <c r="A381" s="18">
        <v>377.0</v>
      </c>
      <c r="B381" s="19" t="s">
        <v>925</v>
      </c>
      <c r="C381" s="19" t="s">
        <v>1434</v>
      </c>
      <c r="D381" s="19" t="s">
        <v>1475</v>
      </c>
      <c r="E381" s="53" t="s">
        <v>42</v>
      </c>
      <c r="F381" s="31" t="s">
        <v>34</v>
      </c>
      <c r="G381" s="46" t="s">
        <v>50</v>
      </c>
      <c r="H381" s="39" t="s">
        <v>1476</v>
      </c>
      <c r="I381" s="19"/>
      <c r="J381" s="19" t="str">
        <f t="array" ref="J381">IF($I381="","",IFERROR(INDEX(Legend!$C$41:$C$45,MATCH($I381,Legend!$B$41:$B$45,0)),""))</f>
        <v/>
      </c>
      <c r="K381" s="19"/>
    </row>
    <row r="382" ht="15.75" customHeight="1">
      <c r="A382" s="18">
        <v>378.0</v>
      </c>
      <c r="B382" s="19" t="s">
        <v>925</v>
      </c>
      <c r="C382" s="19" t="s">
        <v>1434</v>
      </c>
      <c r="D382" s="19" t="s">
        <v>1478</v>
      </c>
      <c r="E382" s="53" t="s">
        <v>42</v>
      </c>
      <c r="F382" s="31" t="s">
        <v>34</v>
      </c>
      <c r="G382" s="46" t="s">
        <v>50</v>
      </c>
      <c r="H382" s="39"/>
      <c r="I382" s="19"/>
      <c r="J382" s="19" t="str">
        <f t="array" ref="J382">IF($I382="","",IFERROR(INDEX(Legend!$C$41:$C$45,MATCH($I382,Legend!$B$41:$B$45,0)),""))</f>
        <v/>
      </c>
      <c r="K382" s="19"/>
    </row>
    <row r="383" ht="15.75" customHeight="1">
      <c r="A383" s="18">
        <v>379.0</v>
      </c>
      <c r="B383" s="19" t="s">
        <v>925</v>
      </c>
      <c r="C383" s="19" t="s">
        <v>1480</v>
      </c>
      <c r="D383" s="19" t="s">
        <v>1481</v>
      </c>
      <c r="E383" s="20" t="s">
        <v>33</v>
      </c>
      <c r="F383" s="31" t="s">
        <v>34</v>
      </c>
      <c r="G383" s="37" t="s">
        <v>49</v>
      </c>
      <c r="H383" s="39"/>
      <c r="I383" s="19"/>
      <c r="J383" s="19" t="str">
        <f t="array" ref="J383">IF($I383="","",IFERROR(INDEX(Legend!$C$41:$C$45,MATCH($I383,Legend!$B$41:$B$45,0)),""))</f>
        <v/>
      </c>
      <c r="K383" s="19"/>
    </row>
    <row r="384" ht="15.75" customHeight="1">
      <c r="A384" s="18">
        <v>380.0</v>
      </c>
      <c r="B384" s="19" t="s">
        <v>925</v>
      </c>
      <c r="C384" s="19" t="s">
        <v>1480</v>
      </c>
      <c r="D384" s="19" t="s">
        <v>1484</v>
      </c>
      <c r="E384" s="20" t="s">
        <v>33</v>
      </c>
      <c r="F384" s="48" t="s">
        <v>77</v>
      </c>
      <c r="G384" s="37" t="s">
        <v>49</v>
      </c>
      <c r="H384" s="39" t="s">
        <v>1486</v>
      </c>
      <c r="I384" s="19"/>
      <c r="J384" s="19" t="str">
        <f t="array" ref="J384">IF($I384="","",IFERROR(INDEX(Legend!$C$41:$C$45,MATCH($I384,Legend!$B$41:$B$45,0)),""))</f>
        <v/>
      </c>
      <c r="K384" s="19"/>
    </row>
    <row r="385" ht="15.75" customHeight="1">
      <c r="A385" s="18">
        <v>381.0</v>
      </c>
      <c r="B385" s="19" t="s">
        <v>925</v>
      </c>
      <c r="C385" s="19" t="s">
        <v>1480</v>
      </c>
      <c r="D385" s="19" t="s">
        <v>1488</v>
      </c>
      <c r="E385" s="53" t="s">
        <v>42</v>
      </c>
      <c r="F385" s="31" t="s">
        <v>34</v>
      </c>
      <c r="G385" s="37" t="s">
        <v>49</v>
      </c>
      <c r="H385" s="39" t="s">
        <v>1489</v>
      </c>
      <c r="I385" s="19"/>
      <c r="J385" s="19" t="str">
        <f t="array" ref="J385">IF($I385="","",IFERROR(INDEX(Legend!$C$41:$C$45,MATCH($I385,Legend!$B$41:$B$45,0)),""))</f>
        <v/>
      </c>
      <c r="K385" s="19"/>
    </row>
    <row r="386" ht="15.75" customHeight="1">
      <c r="A386" s="18">
        <v>382.0</v>
      </c>
      <c r="B386" s="19" t="s">
        <v>925</v>
      </c>
      <c r="C386" s="19" t="s">
        <v>1480</v>
      </c>
      <c r="D386" s="19" t="s">
        <v>1492</v>
      </c>
      <c r="E386" s="20" t="s">
        <v>33</v>
      </c>
      <c r="F386" s="31" t="s">
        <v>34</v>
      </c>
      <c r="G386" s="37" t="s">
        <v>49</v>
      </c>
      <c r="H386" s="39" t="s">
        <v>1493</v>
      </c>
      <c r="I386" s="19"/>
      <c r="J386" s="19" t="str">
        <f t="array" ref="J386">IF($I386="","",IFERROR(INDEX(Legend!$C$41:$C$45,MATCH($I386,Legend!$B$41:$B$45,0)),""))</f>
        <v/>
      </c>
      <c r="K386" s="19"/>
    </row>
    <row r="387" ht="15.75" customHeight="1">
      <c r="A387" s="18">
        <v>383.0</v>
      </c>
      <c r="B387" s="19" t="s">
        <v>925</v>
      </c>
      <c r="C387" s="19" t="s">
        <v>1480</v>
      </c>
      <c r="D387" s="19" t="s">
        <v>1494</v>
      </c>
      <c r="E387" s="20" t="s">
        <v>33</v>
      </c>
      <c r="F387" s="31" t="s">
        <v>34</v>
      </c>
      <c r="G387" s="37" t="s">
        <v>49</v>
      </c>
      <c r="H387" s="39" t="s">
        <v>1495</v>
      </c>
      <c r="I387" s="19"/>
      <c r="J387" s="19" t="str">
        <f t="array" ref="J387">IF($I387="","",IFERROR(INDEX(Legend!$C$41:$C$45,MATCH($I387,Legend!$B$41:$B$45,0)),""))</f>
        <v/>
      </c>
      <c r="K387" s="19"/>
    </row>
    <row r="388" ht="15.75" customHeight="1">
      <c r="A388" s="18">
        <v>384.0</v>
      </c>
      <c r="B388" s="19" t="s">
        <v>925</v>
      </c>
      <c r="C388" s="19" t="s">
        <v>1480</v>
      </c>
      <c r="D388" s="19" t="s">
        <v>1498</v>
      </c>
      <c r="E388" s="53" t="s">
        <v>42</v>
      </c>
      <c r="F388" s="31" t="s">
        <v>34</v>
      </c>
      <c r="G388" s="37" t="s">
        <v>49</v>
      </c>
      <c r="H388" s="39" t="s">
        <v>1499</v>
      </c>
      <c r="I388" s="19"/>
      <c r="J388" s="19" t="str">
        <f t="array" ref="J388">IF($I388="","",IFERROR(INDEX(Legend!$C$41:$C$45,MATCH($I388,Legend!$B$41:$B$45,0)),""))</f>
        <v/>
      </c>
      <c r="K388" s="19"/>
    </row>
    <row r="389" ht="15.75" customHeight="1">
      <c r="A389" s="18">
        <v>385.0</v>
      </c>
      <c r="B389" s="19" t="s">
        <v>925</v>
      </c>
      <c r="C389" s="19" t="s">
        <v>1480</v>
      </c>
      <c r="D389" s="19" t="s">
        <v>1500</v>
      </c>
      <c r="E389" s="20" t="s">
        <v>33</v>
      </c>
      <c r="F389" s="48" t="s">
        <v>77</v>
      </c>
      <c r="G389" s="37" t="s">
        <v>49</v>
      </c>
      <c r="H389" s="39" t="s">
        <v>1502</v>
      </c>
      <c r="I389" s="19"/>
      <c r="J389" s="19" t="str">
        <f t="array" ref="J389">IF($I389="","",IFERROR(INDEX(Legend!$C$41:$C$45,MATCH($I389,Legend!$B$41:$B$45,0)),""))</f>
        <v/>
      </c>
      <c r="K389" s="19"/>
    </row>
    <row r="390" ht="15.75" customHeight="1">
      <c r="A390" s="18">
        <v>386.0</v>
      </c>
      <c r="B390" s="19" t="s">
        <v>925</v>
      </c>
      <c r="C390" s="19" t="s">
        <v>1480</v>
      </c>
      <c r="D390" s="19" t="s">
        <v>1504</v>
      </c>
      <c r="E390" s="20" t="s">
        <v>33</v>
      </c>
      <c r="F390" s="48" t="s">
        <v>77</v>
      </c>
      <c r="G390" s="37" t="s">
        <v>49</v>
      </c>
      <c r="H390" s="39" t="s">
        <v>1505</v>
      </c>
      <c r="I390" s="19"/>
      <c r="J390" s="19" t="str">
        <f t="array" ref="J390">IF($I390="","",IFERROR(INDEX(Legend!$C$41:$C$45,MATCH($I390,Legend!$B$41:$B$45,0)),""))</f>
        <v/>
      </c>
      <c r="K390" s="19"/>
    </row>
    <row r="391" ht="15.75" customHeight="1">
      <c r="A391" s="18">
        <v>387.0</v>
      </c>
      <c r="B391" s="19" t="s">
        <v>925</v>
      </c>
      <c r="C391" s="19" t="s">
        <v>1480</v>
      </c>
      <c r="D391" s="19" t="s">
        <v>1506</v>
      </c>
      <c r="E391" s="53" t="s">
        <v>42</v>
      </c>
      <c r="F391" s="31" t="s">
        <v>34</v>
      </c>
      <c r="G391" s="37" t="s">
        <v>49</v>
      </c>
      <c r="H391" s="39"/>
      <c r="I391" s="19"/>
      <c r="J391" s="19" t="str">
        <f t="array" ref="J391">IF($I391="","",IFERROR(INDEX(Legend!$C$41:$C$45,MATCH($I391,Legend!$B$41:$B$45,0)),""))</f>
        <v/>
      </c>
      <c r="K391" s="19"/>
    </row>
    <row r="392" ht="15.75" customHeight="1">
      <c r="A392" s="18">
        <v>388.0</v>
      </c>
      <c r="B392" s="19" t="s">
        <v>925</v>
      </c>
      <c r="C392" s="19" t="s">
        <v>1480</v>
      </c>
      <c r="D392" s="19" t="s">
        <v>1509</v>
      </c>
      <c r="E392" s="53" t="s">
        <v>42</v>
      </c>
      <c r="F392" s="31" t="s">
        <v>34</v>
      </c>
      <c r="G392" s="37" t="s">
        <v>49</v>
      </c>
      <c r="H392" s="39" t="s">
        <v>1510</v>
      </c>
      <c r="I392" s="19"/>
      <c r="J392" s="19" t="str">
        <f t="array" ref="J392">IF($I392="","",IFERROR(INDEX(Legend!$C$41:$C$45,MATCH($I392,Legend!$B$41:$B$45,0)),""))</f>
        <v/>
      </c>
      <c r="K392" s="19"/>
    </row>
    <row r="393" ht="15.75" customHeight="1">
      <c r="A393" s="18">
        <v>389.0</v>
      </c>
      <c r="B393" s="19" t="s">
        <v>925</v>
      </c>
      <c r="C393" s="19" t="s">
        <v>1480</v>
      </c>
      <c r="D393" s="19" t="s">
        <v>1513</v>
      </c>
      <c r="E393" s="53" t="s">
        <v>42</v>
      </c>
      <c r="F393" s="48" t="s">
        <v>77</v>
      </c>
      <c r="G393" s="37" t="s">
        <v>49</v>
      </c>
      <c r="H393" s="39" t="s">
        <v>1514</v>
      </c>
      <c r="I393" s="19"/>
      <c r="J393" s="19" t="str">
        <f t="array" ref="J393">IF($I393="","",IFERROR(INDEX(Legend!$C$41:$C$45,MATCH($I393,Legend!$B$41:$B$45,0)),""))</f>
        <v/>
      </c>
      <c r="K393" s="19"/>
    </row>
    <row r="394" ht="15.75" customHeight="1">
      <c r="A394" s="18">
        <v>390.0</v>
      </c>
      <c r="B394" s="19" t="s">
        <v>925</v>
      </c>
      <c r="C394" s="19" t="s">
        <v>1480</v>
      </c>
      <c r="D394" s="19" t="s">
        <v>1515</v>
      </c>
      <c r="E394" s="53" t="s">
        <v>42</v>
      </c>
      <c r="F394" s="31" t="s">
        <v>34</v>
      </c>
      <c r="G394" s="37" t="s">
        <v>49</v>
      </c>
      <c r="H394" s="39"/>
      <c r="I394" s="19"/>
      <c r="J394" s="19" t="str">
        <f t="array" ref="J394">IF($I394="","",IFERROR(INDEX(Legend!$C$41:$C$45,MATCH($I394,Legend!$B$41:$B$45,0)),""))</f>
        <v/>
      </c>
      <c r="K394" s="19"/>
    </row>
    <row r="395" ht="15.75" customHeight="1">
      <c r="A395" s="18">
        <v>391.0</v>
      </c>
      <c r="B395" s="19" t="s">
        <v>925</v>
      </c>
      <c r="C395" s="19" t="s">
        <v>1480</v>
      </c>
      <c r="D395" s="19" t="s">
        <v>1518</v>
      </c>
      <c r="E395" s="53" t="s">
        <v>42</v>
      </c>
      <c r="F395" s="48" t="s">
        <v>77</v>
      </c>
      <c r="G395" s="46" t="s">
        <v>50</v>
      </c>
      <c r="H395" s="39" t="s">
        <v>1519</v>
      </c>
      <c r="I395" s="19"/>
      <c r="J395" s="19" t="str">
        <f t="array" ref="J395">IF($I395="","",IFERROR(INDEX(Legend!$C$41:$C$45,MATCH($I395,Legend!$B$41:$B$45,0)),""))</f>
        <v/>
      </c>
      <c r="K395" s="19"/>
    </row>
    <row r="396" ht="15.75" customHeight="1">
      <c r="A396" s="18">
        <v>392.0</v>
      </c>
      <c r="B396" s="19" t="s">
        <v>925</v>
      </c>
      <c r="C396" s="19" t="s">
        <v>1480</v>
      </c>
      <c r="D396" s="19" t="s">
        <v>1520</v>
      </c>
      <c r="E396" s="53" t="s">
        <v>42</v>
      </c>
      <c r="F396" s="31" t="s">
        <v>34</v>
      </c>
      <c r="G396" s="37" t="s">
        <v>49</v>
      </c>
      <c r="H396" s="39"/>
      <c r="I396" s="19"/>
      <c r="J396" s="19" t="str">
        <f t="array" ref="J396">IF($I396="","",IFERROR(INDEX(Legend!$C$41:$C$45,MATCH($I396,Legend!$B$41:$B$45,0)),""))</f>
        <v/>
      </c>
      <c r="K396" s="19"/>
    </row>
    <row r="397" ht="15.75" customHeight="1">
      <c r="A397" s="18">
        <v>393.0</v>
      </c>
      <c r="B397" s="19" t="s">
        <v>925</v>
      </c>
      <c r="C397" s="19" t="s">
        <v>1480</v>
      </c>
      <c r="D397" s="19" t="s">
        <v>1523</v>
      </c>
      <c r="E397" s="53" t="s">
        <v>42</v>
      </c>
      <c r="F397" s="31" t="s">
        <v>34</v>
      </c>
      <c r="G397" s="37" t="s">
        <v>49</v>
      </c>
      <c r="H397" s="39" t="s">
        <v>1524</v>
      </c>
      <c r="I397" s="19"/>
      <c r="J397" s="19" t="str">
        <f t="array" ref="J397">IF($I397="","",IFERROR(INDEX(Legend!$C$41:$C$45,MATCH($I397,Legend!$B$41:$B$45,0)),""))</f>
        <v/>
      </c>
      <c r="K397" s="19"/>
    </row>
    <row r="398" ht="15.75" customHeight="1">
      <c r="A398" s="18">
        <v>394.0</v>
      </c>
      <c r="B398" s="19" t="s">
        <v>925</v>
      </c>
      <c r="C398" s="19" t="s">
        <v>1480</v>
      </c>
      <c r="D398" s="19" t="s">
        <v>1527</v>
      </c>
      <c r="E398" s="53" t="s">
        <v>42</v>
      </c>
      <c r="F398" s="31" t="s">
        <v>34</v>
      </c>
      <c r="G398" s="46" t="s">
        <v>50</v>
      </c>
      <c r="H398" s="39"/>
      <c r="I398" s="19"/>
      <c r="J398" s="19" t="str">
        <f t="array" ref="J398">IF($I398="","",IFERROR(INDEX(Legend!$C$41:$C$45,MATCH($I398,Legend!$B$41:$B$45,0)),""))</f>
        <v/>
      </c>
      <c r="K398" s="19"/>
    </row>
    <row r="399" ht="15.75" customHeight="1">
      <c r="A399" s="18">
        <v>395.0</v>
      </c>
      <c r="B399" s="19" t="s">
        <v>925</v>
      </c>
      <c r="C399" s="19" t="s">
        <v>1480</v>
      </c>
      <c r="D399" s="19" t="s">
        <v>1528</v>
      </c>
      <c r="E399" s="53" t="s">
        <v>42</v>
      </c>
      <c r="F399" s="31" t="s">
        <v>34</v>
      </c>
      <c r="G399" s="46" t="s">
        <v>50</v>
      </c>
      <c r="H399" s="39"/>
      <c r="I399" s="19"/>
      <c r="J399" s="19" t="str">
        <f t="array" ref="J399">IF($I399="","",IFERROR(INDEX(Legend!$C$41:$C$45,MATCH($I399,Legend!$B$41:$B$45,0)),""))</f>
        <v/>
      </c>
      <c r="K399" s="19"/>
    </row>
    <row r="400" ht="15.75" customHeight="1">
      <c r="A400" s="18">
        <v>396.0</v>
      </c>
      <c r="B400" s="19" t="s">
        <v>925</v>
      </c>
      <c r="C400" s="19" t="s">
        <v>1480</v>
      </c>
      <c r="D400" s="19" t="s">
        <v>1531</v>
      </c>
      <c r="E400" s="48" t="s">
        <v>43</v>
      </c>
      <c r="F400" s="54" t="s">
        <v>46</v>
      </c>
      <c r="G400" s="61" t="s">
        <v>47</v>
      </c>
      <c r="H400" s="39" t="s">
        <v>488</v>
      </c>
      <c r="I400" s="19"/>
      <c r="J400" s="19" t="str">
        <f t="array" ref="J400">IF($I400="","",IFERROR(INDEX(Legend!$C$41:$C$45,MATCH($I400,Legend!$B$41:$B$45,0)),""))</f>
        <v/>
      </c>
      <c r="K400" s="19"/>
    </row>
    <row r="401" ht="15.75" customHeight="1">
      <c r="A401" s="18">
        <v>397.0</v>
      </c>
      <c r="B401" s="19" t="s">
        <v>925</v>
      </c>
      <c r="C401" s="19" t="s">
        <v>1532</v>
      </c>
      <c r="D401" s="19" t="s">
        <v>1533</v>
      </c>
      <c r="E401" s="53" t="s">
        <v>42</v>
      </c>
      <c r="F401" s="31" t="s">
        <v>34</v>
      </c>
      <c r="G401" s="37" t="s">
        <v>49</v>
      </c>
      <c r="H401" s="39" t="s">
        <v>1534</v>
      </c>
      <c r="I401" s="19"/>
      <c r="J401" s="19" t="str">
        <f t="array" ref="J401">IF($I401="","",IFERROR(INDEX(Legend!$C$41:$C$45,MATCH($I401,Legend!$B$41:$B$45,0)),""))</f>
        <v/>
      </c>
      <c r="K401" s="19"/>
    </row>
    <row r="402" ht="15.75" customHeight="1">
      <c r="A402" s="18">
        <v>398.0</v>
      </c>
      <c r="B402" s="19" t="s">
        <v>925</v>
      </c>
      <c r="C402" s="19" t="s">
        <v>1532</v>
      </c>
      <c r="D402" s="19" t="s">
        <v>1537</v>
      </c>
      <c r="E402" s="53" t="s">
        <v>42</v>
      </c>
      <c r="F402" s="48" t="s">
        <v>77</v>
      </c>
      <c r="G402" s="37" t="s">
        <v>49</v>
      </c>
      <c r="H402" s="39"/>
      <c r="I402" s="19"/>
      <c r="J402" s="19" t="str">
        <f t="array" ref="J402">IF($I402="","",IFERROR(INDEX(Legend!$C$41:$C$45,MATCH($I402,Legend!$B$41:$B$45,0)),""))</f>
        <v/>
      </c>
      <c r="K402" s="19"/>
    </row>
    <row r="403" ht="15.75" customHeight="1">
      <c r="A403" s="18">
        <v>399.0</v>
      </c>
      <c r="B403" s="19" t="s">
        <v>925</v>
      </c>
      <c r="C403" s="19" t="s">
        <v>1532</v>
      </c>
      <c r="D403" s="19" t="s">
        <v>1540</v>
      </c>
      <c r="E403" s="53" t="s">
        <v>42</v>
      </c>
      <c r="F403" s="48" t="s">
        <v>77</v>
      </c>
      <c r="G403" s="37" t="s">
        <v>49</v>
      </c>
      <c r="H403" s="39" t="s">
        <v>1541</v>
      </c>
      <c r="I403" s="19"/>
      <c r="J403" s="19" t="str">
        <f t="array" ref="J403">IF($I403="","",IFERROR(INDEX(Legend!$C$41:$C$45,MATCH($I403,Legend!$B$41:$B$45,0)),""))</f>
        <v/>
      </c>
      <c r="K403" s="19"/>
    </row>
    <row r="404" ht="15.75" customHeight="1">
      <c r="A404" s="18">
        <v>400.0</v>
      </c>
      <c r="B404" s="19" t="s">
        <v>925</v>
      </c>
      <c r="C404" s="19" t="s">
        <v>1532</v>
      </c>
      <c r="D404" s="19" t="s">
        <v>1544</v>
      </c>
      <c r="E404" s="53" t="s">
        <v>42</v>
      </c>
      <c r="F404" s="31" t="s">
        <v>34</v>
      </c>
      <c r="G404" s="37" t="s">
        <v>49</v>
      </c>
      <c r="H404" s="39"/>
      <c r="I404" s="19"/>
      <c r="J404" s="19" t="str">
        <f t="array" ref="J404">IF($I404="","",IFERROR(INDEX(Legend!$C$41:$C$45,MATCH($I404,Legend!$B$41:$B$45,0)),""))</f>
        <v/>
      </c>
      <c r="K404" s="19"/>
    </row>
    <row r="405" ht="15.75" customHeight="1">
      <c r="A405" s="18">
        <v>401.0</v>
      </c>
      <c r="B405" s="19" t="s">
        <v>925</v>
      </c>
      <c r="C405" s="19" t="s">
        <v>1532</v>
      </c>
      <c r="D405" s="19" t="s">
        <v>1547</v>
      </c>
      <c r="E405" s="53" t="s">
        <v>42</v>
      </c>
      <c r="F405" s="31" t="s">
        <v>34</v>
      </c>
      <c r="G405" s="37" t="s">
        <v>49</v>
      </c>
      <c r="H405" s="39"/>
      <c r="I405" s="19"/>
      <c r="J405" s="19" t="str">
        <f t="array" ref="J405">IF($I405="","",IFERROR(INDEX(Legend!$C$41:$C$45,MATCH($I405,Legend!$B$41:$B$45,0)),""))</f>
        <v/>
      </c>
      <c r="K405" s="19"/>
    </row>
    <row r="406" ht="15.75" customHeight="1">
      <c r="A406" s="18">
        <v>402.0</v>
      </c>
      <c r="B406" s="19" t="s">
        <v>925</v>
      </c>
      <c r="C406" s="19" t="s">
        <v>1532</v>
      </c>
      <c r="D406" s="19" t="s">
        <v>1550</v>
      </c>
      <c r="E406" s="53" t="s">
        <v>42</v>
      </c>
      <c r="F406" s="48" t="s">
        <v>77</v>
      </c>
      <c r="G406" s="37" t="s">
        <v>49</v>
      </c>
      <c r="H406" s="39" t="s">
        <v>1551</v>
      </c>
      <c r="I406" s="19"/>
      <c r="J406" s="19" t="str">
        <f t="array" ref="J406">IF($I406="","",IFERROR(INDEX(Legend!$C$41:$C$45,MATCH($I406,Legend!$B$41:$B$45,0)),""))</f>
        <v/>
      </c>
      <c r="K406" s="19"/>
    </row>
    <row r="407" ht="15.75" customHeight="1">
      <c r="A407" s="18">
        <v>403.0</v>
      </c>
      <c r="B407" s="19" t="s">
        <v>925</v>
      </c>
      <c r="C407" s="19" t="s">
        <v>1532</v>
      </c>
      <c r="D407" s="19" t="s">
        <v>1554</v>
      </c>
      <c r="E407" s="53" t="s">
        <v>42</v>
      </c>
      <c r="F407" s="48" t="s">
        <v>77</v>
      </c>
      <c r="G407" s="37" t="s">
        <v>49</v>
      </c>
      <c r="H407" s="39" t="s">
        <v>1555</v>
      </c>
      <c r="I407" s="19"/>
      <c r="J407" s="19" t="str">
        <f t="array" ref="J407">IF($I407="","",IFERROR(INDEX(Legend!$C$41:$C$45,MATCH($I407,Legend!$B$41:$B$45,0)),""))</f>
        <v/>
      </c>
      <c r="K407" s="19"/>
    </row>
    <row r="408" ht="15.75" customHeight="1">
      <c r="A408" s="18">
        <v>404.0</v>
      </c>
      <c r="B408" s="19" t="s">
        <v>925</v>
      </c>
      <c r="C408" s="19" t="s">
        <v>1532</v>
      </c>
      <c r="D408" s="19" t="s">
        <v>1556</v>
      </c>
      <c r="E408" s="53" t="s">
        <v>42</v>
      </c>
      <c r="F408" s="31" t="s">
        <v>34</v>
      </c>
      <c r="G408" s="37" t="s">
        <v>49</v>
      </c>
      <c r="H408" s="39"/>
      <c r="I408" s="19"/>
      <c r="J408" s="19" t="str">
        <f t="array" ref="J408">IF($I408="","",IFERROR(INDEX(Legend!$C$41:$C$45,MATCH($I408,Legend!$B$41:$B$45,0)),""))</f>
        <v/>
      </c>
      <c r="K408" s="19"/>
    </row>
    <row r="409" ht="15.75" customHeight="1">
      <c r="A409" s="18">
        <v>405.0</v>
      </c>
      <c r="B409" s="19" t="s">
        <v>925</v>
      </c>
      <c r="C409" s="19" t="s">
        <v>1532</v>
      </c>
      <c r="D409" s="19" t="s">
        <v>1559</v>
      </c>
      <c r="E409" s="53" t="s">
        <v>42</v>
      </c>
      <c r="F409" s="31" t="s">
        <v>34</v>
      </c>
      <c r="G409" s="37" t="s">
        <v>49</v>
      </c>
      <c r="H409" s="39" t="s">
        <v>1560</v>
      </c>
      <c r="I409" s="19"/>
      <c r="J409" s="19" t="str">
        <f t="array" ref="J409">IF($I409="","",IFERROR(INDEX(Legend!$C$41:$C$45,MATCH($I409,Legend!$B$41:$B$45,0)),""))</f>
        <v/>
      </c>
      <c r="K409" s="19"/>
    </row>
    <row r="410" ht="15.75" customHeight="1">
      <c r="A410" s="18">
        <v>406.0</v>
      </c>
      <c r="B410" s="19" t="s">
        <v>925</v>
      </c>
      <c r="C410" s="19" t="s">
        <v>1532</v>
      </c>
      <c r="D410" s="19" t="s">
        <v>1563</v>
      </c>
      <c r="E410" s="53" t="s">
        <v>42</v>
      </c>
      <c r="F410" s="31" t="s">
        <v>34</v>
      </c>
      <c r="G410" s="46" t="s">
        <v>50</v>
      </c>
      <c r="H410" s="39"/>
      <c r="I410" s="19"/>
      <c r="J410" s="19" t="str">
        <f t="array" ref="J410">IF($I410="","",IFERROR(INDEX(Legend!$C$41:$C$45,MATCH($I410,Legend!$B$41:$B$45,0)),""))</f>
        <v/>
      </c>
      <c r="K410" s="19"/>
    </row>
    <row r="411" ht="15.75" customHeight="1">
      <c r="A411" s="18">
        <v>407.0</v>
      </c>
      <c r="B411" s="19" t="s">
        <v>925</v>
      </c>
      <c r="C411" s="19" t="s">
        <v>1532</v>
      </c>
      <c r="D411" s="19" t="s">
        <v>1566</v>
      </c>
      <c r="E411" s="53" t="s">
        <v>42</v>
      </c>
      <c r="F411" s="31" t="s">
        <v>34</v>
      </c>
      <c r="G411" s="46" t="s">
        <v>50</v>
      </c>
      <c r="H411" s="39"/>
      <c r="I411" s="19"/>
      <c r="J411" s="19" t="str">
        <f t="array" ref="J411">IF($I411="","",IFERROR(INDEX(Legend!$C$41:$C$45,MATCH($I411,Legend!$B$41:$B$45,0)),""))</f>
        <v/>
      </c>
      <c r="K411" s="19"/>
    </row>
    <row r="412" ht="15.75" customHeight="1">
      <c r="A412" s="18">
        <v>408.0</v>
      </c>
      <c r="B412" s="19" t="s">
        <v>925</v>
      </c>
      <c r="C412" s="19" t="s">
        <v>1532</v>
      </c>
      <c r="D412" s="19" t="s">
        <v>1567</v>
      </c>
      <c r="E412" s="53" t="s">
        <v>42</v>
      </c>
      <c r="F412" s="31" t="s">
        <v>34</v>
      </c>
      <c r="G412" s="37" t="s">
        <v>49</v>
      </c>
      <c r="H412" s="39" t="s">
        <v>1569</v>
      </c>
      <c r="I412" s="19"/>
      <c r="J412" s="19" t="str">
        <f t="array" ref="J412">IF($I412="","",IFERROR(INDEX(Legend!$C$41:$C$45,MATCH($I412,Legend!$B$41:$B$45,0)),""))</f>
        <v/>
      </c>
      <c r="K412" s="19"/>
    </row>
    <row r="413" ht="15.75" customHeight="1">
      <c r="A413" s="18">
        <v>409.0</v>
      </c>
      <c r="B413" s="19" t="s">
        <v>925</v>
      </c>
      <c r="C413" s="19" t="s">
        <v>1532</v>
      </c>
      <c r="D413" s="19" t="s">
        <v>1571</v>
      </c>
      <c r="E413" s="53" t="s">
        <v>42</v>
      </c>
      <c r="F413" s="31" t="s">
        <v>34</v>
      </c>
      <c r="G413" s="37" t="s">
        <v>49</v>
      </c>
      <c r="H413" s="39"/>
      <c r="I413" s="19"/>
      <c r="J413" s="19" t="str">
        <f t="array" ref="J413">IF($I413="","",IFERROR(INDEX(Legend!$C$41:$C$45,MATCH($I413,Legend!$B$41:$B$45,0)),""))</f>
        <v/>
      </c>
      <c r="K413" s="19"/>
    </row>
    <row r="414" ht="15.75" customHeight="1">
      <c r="A414" s="18">
        <v>410.0</v>
      </c>
      <c r="B414" s="19" t="s">
        <v>925</v>
      </c>
      <c r="C414" s="19" t="s">
        <v>1532</v>
      </c>
      <c r="D414" s="19" t="s">
        <v>1574</v>
      </c>
      <c r="E414" s="53" t="s">
        <v>42</v>
      </c>
      <c r="F414" s="31" t="s">
        <v>34</v>
      </c>
      <c r="G414" s="46" t="s">
        <v>50</v>
      </c>
      <c r="H414" s="39"/>
      <c r="I414" s="19"/>
      <c r="J414" s="19" t="str">
        <f t="array" ref="J414">IF($I414="","",IFERROR(INDEX(Legend!$C$41:$C$45,MATCH($I414,Legend!$B$41:$B$45,0)),""))</f>
        <v/>
      </c>
      <c r="K414" s="19"/>
    </row>
    <row r="415" ht="15.75" customHeight="1">
      <c r="A415" s="18">
        <v>411.0</v>
      </c>
      <c r="B415" s="19" t="s">
        <v>925</v>
      </c>
      <c r="C415" s="19" t="s">
        <v>1532</v>
      </c>
      <c r="D415" s="19" t="s">
        <v>1577</v>
      </c>
      <c r="E415" s="53" t="s">
        <v>42</v>
      </c>
      <c r="F415" s="48" t="s">
        <v>77</v>
      </c>
      <c r="G415" s="46" t="s">
        <v>50</v>
      </c>
      <c r="H415" s="39"/>
      <c r="I415" s="19"/>
      <c r="J415" s="19" t="str">
        <f t="array" ref="J415">IF($I415="","",IFERROR(INDEX(Legend!$C$41:$C$45,MATCH($I415,Legend!$B$41:$B$45,0)),""))</f>
        <v/>
      </c>
      <c r="K415" s="19"/>
    </row>
    <row r="416" ht="15.75" customHeight="1">
      <c r="A416" s="18">
        <v>412.0</v>
      </c>
      <c r="B416" s="19" t="s">
        <v>925</v>
      </c>
      <c r="C416" s="19" t="s">
        <v>1532</v>
      </c>
      <c r="D416" s="19" t="s">
        <v>1580</v>
      </c>
      <c r="E416" s="53" t="s">
        <v>42</v>
      </c>
      <c r="F416" s="31" t="s">
        <v>34</v>
      </c>
      <c r="G416" s="37" t="s">
        <v>49</v>
      </c>
      <c r="H416" s="39" t="s">
        <v>1581</v>
      </c>
      <c r="I416" s="19"/>
      <c r="J416" s="19" t="str">
        <f t="array" ref="J416">IF($I416="","",IFERROR(INDEX(Legend!$C$41:$C$45,MATCH($I416,Legend!$B$41:$B$45,0)),""))</f>
        <v/>
      </c>
      <c r="K416" s="19"/>
    </row>
    <row r="417" ht="15.75" customHeight="1">
      <c r="A417" s="18">
        <v>413.0</v>
      </c>
      <c r="B417" s="19" t="s">
        <v>925</v>
      </c>
      <c r="C417" s="19" t="s">
        <v>1532</v>
      </c>
      <c r="D417" s="19" t="s">
        <v>1584</v>
      </c>
      <c r="E417" s="53" t="s">
        <v>42</v>
      </c>
      <c r="F417" s="54" t="s">
        <v>46</v>
      </c>
      <c r="G417" s="61" t="s">
        <v>47</v>
      </c>
      <c r="H417" s="39"/>
      <c r="I417" s="19"/>
      <c r="J417" s="19" t="str">
        <f t="array" ref="J417">IF($I417="","",IFERROR(INDEX(Legend!$C$41:$C$45,MATCH($I417,Legend!$B$41:$B$45,0)),""))</f>
        <v/>
      </c>
      <c r="K417" s="19"/>
    </row>
    <row r="418" ht="15.75" customHeight="1">
      <c r="A418" s="18">
        <v>414.0</v>
      </c>
      <c r="B418" s="19" t="s">
        <v>925</v>
      </c>
      <c r="C418" s="19" t="s">
        <v>1585</v>
      </c>
      <c r="D418" s="19" t="s">
        <v>1586</v>
      </c>
      <c r="E418" s="20" t="s">
        <v>33</v>
      </c>
      <c r="F418" s="31" t="s">
        <v>34</v>
      </c>
      <c r="G418" s="37" t="s">
        <v>49</v>
      </c>
      <c r="H418" s="39"/>
      <c r="I418" s="19"/>
      <c r="J418" s="19" t="str">
        <f t="array" ref="J418">IF($I418="","",IFERROR(INDEX(Legend!$C$41:$C$45,MATCH($I418,Legend!$B$41:$B$45,0)),""))</f>
        <v/>
      </c>
      <c r="K418" s="19"/>
    </row>
    <row r="419" ht="15.75" customHeight="1">
      <c r="A419" s="18">
        <v>415.0</v>
      </c>
      <c r="B419" s="19" t="s">
        <v>925</v>
      </c>
      <c r="C419" s="19" t="s">
        <v>1585</v>
      </c>
      <c r="D419" s="19" t="s">
        <v>1589</v>
      </c>
      <c r="E419" s="53" t="s">
        <v>42</v>
      </c>
      <c r="F419" s="48" t="s">
        <v>77</v>
      </c>
      <c r="G419" s="37" t="s">
        <v>49</v>
      </c>
      <c r="H419" s="39" t="s">
        <v>1590</v>
      </c>
      <c r="I419" s="19"/>
      <c r="J419" s="19" t="str">
        <f t="array" ref="J419">IF($I419="","",IFERROR(INDEX(Legend!$C$41:$C$45,MATCH($I419,Legend!$B$41:$B$45,0)),""))</f>
        <v/>
      </c>
      <c r="K419" s="19"/>
    </row>
    <row r="420" ht="15.75" customHeight="1">
      <c r="A420" s="18">
        <v>416.0</v>
      </c>
      <c r="B420" s="19" t="s">
        <v>925</v>
      </c>
      <c r="C420" s="19" t="s">
        <v>1585</v>
      </c>
      <c r="D420" s="19" t="s">
        <v>1593</v>
      </c>
      <c r="E420" s="53" t="s">
        <v>42</v>
      </c>
      <c r="F420" s="31" t="s">
        <v>34</v>
      </c>
      <c r="G420" s="46" t="s">
        <v>50</v>
      </c>
      <c r="H420" s="39"/>
      <c r="I420" s="19"/>
      <c r="J420" s="19" t="str">
        <f t="array" ref="J420">IF($I420="","",IFERROR(INDEX(Legend!$C$41:$C$45,MATCH($I420,Legend!$B$41:$B$45,0)),""))</f>
        <v/>
      </c>
      <c r="K420" s="19"/>
    </row>
    <row r="421" ht="15.75" customHeight="1">
      <c r="A421" s="18">
        <v>417.0</v>
      </c>
      <c r="B421" s="19" t="s">
        <v>925</v>
      </c>
      <c r="C421" s="19" t="s">
        <v>1585</v>
      </c>
      <c r="D421" s="19" t="s">
        <v>1596</v>
      </c>
      <c r="E421" s="53" t="s">
        <v>42</v>
      </c>
      <c r="F421" s="31" t="s">
        <v>34</v>
      </c>
      <c r="G421" s="37" t="s">
        <v>49</v>
      </c>
      <c r="H421" s="39" t="s">
        <v>1597</v>
      </c>
      <c r="I421" s="19"/>
      <c r="J421" s="19" t="str">
        <f t="array" ref="J421">IF($I421="","",IFERROR(INDEX(Legend!$C$41:$C$45,MATCH($I421,Legend!$B$41:$B$45,0)),""))</f>
        <v/>
      </c>
      <c r="K421" s="19"/>
    </row>
    <row r="422" ht="15.75" customHeight="1">
      <c r="A422" s="18">
        <v>418.0</v>
      </c>
      <c r="B422" s="19" t="s">
        <v>925</v>
      </c>
      <c r="C422" s="19" t="s">
        <v>1585</v>
      </c>
      <c r="D422" s="19" t="s">
        <v>1598</v>
      </c>
      <c r="E422" s="53" t="s">
        <v>42</v>
      </c>
      <c r="F422" s="31" t="s">
        <v>34</v>
      </c>
      <c r="G422" s="46" t="s">
        <v>50</v>
      </c>
      <c r="H422" s="39" t="s">
        <v>1599</v>
      </c>
      <c r="I422" s="19"/>
      <c r="J422" s="19" t="str">
        <f t="array" ref="J422">IF($I422="","",IFERROR(INDEX(Legend!$C$41:$C$45,MATCH($I422,Legend!$B$41:$B$45,0)),""))</f>
        <v/>
      </c>
      <c r="K422" s="19"/>
    </row>
    <row r="423" ht="15.75" customHeight="1">
      <c r="A423" s="18">
        <v>419.0</v>
      </c>
      <c r="B423" s="19" t="s">
        <v>925</v>
      </c>
      <c r="C423" s="19" t="s">
        <v>1585</v>
      </c>
      <c r="D423" s="19" t="s">
        <v>1604</v>
      </c>
      <c r="E423" s="53" t="s">
        <v>42</v>
      </c>
      <c r="F423" s="48" t="s">
        <v>77</v>
      </c>
      <c r="G423" s="37" t="s">
        <v>49</v>
      </c>
      <c r="H423" s="39" t="s">
        <v>1605</v>
      </c>
      <c r="I423" s="19"/>
      <c r="J423" s="19" t="str">
        <f t="array" ref="J423">IF($I423="","",IFERROR(INDEX(Legend!$C$41:$C$45,MATCH($I423,Legend!$B$41:$B$45,0)),""))</f>
        <v/>
      </c>
      <c r="K423" s="19"/>
    </row>
    <row r="424" ht="15.75" customHeight="1">
      <c r="A424" s="18">
        <v>420.0</v>
      </c>
      <c r="B424" s="19" t="s">
        <v>925</v>
      </c>
      <c r="C424" s="19" t="s">
        <v>1585</v>
      </c>
      <c r="D424" s="19" t="s">
        <v>1606</v>
      </c>
      <c r="E424" s="53" t="s">
        <v>42</v>
      </c>
      <c r="F424" s="31" t="s">
        <v>34</v>
      </c>
      <c r="G424" s="46" t="s">
        <v>50</v>
      </c>
      <c r="H424" s="39"/>
      <c r="I424" s="19"/>
      <c r="J424" s="19" t="str">
        <f t="array" ref="J424">IF($I424="","",IFERROR(INDEX(Legend!$C$41:$C$45,MATCH($I424,Legend!$B$41:$B$45,0)),""))</f>
        <v/>
      </c>
      <c r="K424" s="19"/>
    </row>
    <row r="425" ht="15.75" customHeight="1">
      <c r="A425" s="18">
        <v>421.0</v>
      </c>
      <c r="B425" s="19" t="s">
        <v>925</v>
      </c>
      <c r="C425" s="19" t="s">
        <v>1585</v>
      </c>
      <c r="D425" s="19" t="s">
        <v>1609</v>
      </c>
      <c r="E425" s="53" t="s">
        <v>42</v>
      </c>
      <c r="F425" s="54" t="s">
        <v>46</v>
      </c>
      <c r="G425" s="61" t="s">
        <v>47</v>
      </c>
      <c r="H425" s="39"/>
      <c r="I425" s="19"/>
      <c r="J425" s="19" t="str">
        <f t="array" ref="J425">IF($I425="","",IFERROR(INDEX(Legend!$C$41:$C$45,MATCH($I425,Legend!$B$41:$B$45,0)),""))</f>
        <v/>
      </c>
      <c r="K425" s="19"/>
    </row>
    <row r="426" ht="15.75" customHeight="1">
      <c r="A426" s="18">
        <v>422.0</v>
      </c>
      <c r="B426" s="19" t="s">
        <v>925</v>
      </c>
      <c r="C426" s="19" t="s">
        <v>1585</v>
      </c>
      <c r="D426" s="19" t="s">
        <v>1610</v>
      </c>
      <c r="E426" s="48" t="s">
        <v>43</v>
      </c>
      <c r="F426" s="54" t="s">
        <v>46</v>
      </c>
      <c r="G426" s="61" t="s">
        <v>47</v>
      </c>
      <c r="H426" s="39" t="s">
        <v>488</v>
      </c>
      <c r="I426" s="19"/>
      <c r="J426" s="19" t="str">
        <f t="array" ref="J426">IF($I426="","",IFERROR(INDEX(Legend!$C$41:$C$45,MATCH($I426,Legend!$B$41:$B$45,0)),""))</f>
        <v/>
      </c>
      <c r="K426" s="19"/>
    </row>
    <row r="427" ht="15.75" customHeight="1">
      <c r="A427" s="18">
        <v>423.0</v>
      </c>
      <c r="B427" s="19" t="s">
        <v>925</v>
      </c>
      <c r="C427" s="19" t="s">
        <v>1611</v>
      </c>
      <c r="D427" s="19" t="s">
        <v>1612</v>
      </c>
      <c r="E427" s="20" t="s">
        <v>33</v>
      </c>
      <c r="F427" s="31" t="s">
        <v>34</v>
      </c>
      <c r="G427" s="37" t="s">
        <v>49</v>
      </c>
      <c r="H427" s="39" t="s">
        <v>1614</v>
      </c>
      <c r="I427" s="19"/>
      <c r="J427" s="19" t="str">
        <f t="array" ref="J427">IF($I427="","",IFERROR(INDEX(Legend!$C$41:$C$45,MATCH($I427,Legend!$B$41:$B$45,0)),""))</f>
        <v/>
      </c>
      <c r="K427" s="19"/>
    </row>
    <row r="428" ht="15.75" customHeight="1">
      <c r="A428" s="18">
        <v>424.0</v>
      </c>
      <c r="B428" s="19" t="s">
        <v>925</v>
      </c>
      <c r="C428" s="19" t="s">
        <v>1611</v>
      </c>
      <c r="D428" s="19" t="s">
        <v>1616</v>
      </c>
      <c r="E428" s="20" t="s">
        <v>33</v>
      </c>
      <c r="F428" s="48" t="s">
        <v>77</v>
      </c>
      <c r="G428" s="37" t="s">
        <v>49</v>
      </c>
      <c r="H428" s="39" t="s">
        <v>1617</v>
      </c>
      <c r="I428" s="19"/>
      <c r="J428" s="19" t="str">
        <f t="array" ref="J428">IF($I428="","",IFERROR(INDEX(Legend!$C$41:$C$45,MATCH($I428,Legend!$B$41:$B$45,0)),""))</f>
        <v/>
      </c>
      <c r="K428" s="19"/>
    </row>
    <row r="429" ht="15.75" customHeight="1">
      <c r="A429" s="18">
        <v>425.0</v>
      </c>
      <c r="B429" s="19" t="s">
        <v>925</v>
      </c>
      <c r="C429" s="19" t="s">
        <v>1611</v>
      </c>
      <c r="D429" s="19" t="s">
        <v>1618</v>
      </c>
      <c r="E429" s="53" t="s">
        <v>42</v>
      </c>
      <c r="F429" s="31" t="s">
        <v>34</v>
      </c>
      <c r="G429" s="46" t="s">
        <v>50</v>
      </c>
      <c r="H429" s="39"/>
      <c r="I429" s="19"/>
      <c r="J429" s="19" t="str">
        <f t="array" ref="J429">IF($I429="","",IFERROR(INDEX(Legend!$C$41:$C$45,MATCH($I429,Legend!$B$41:$B$45,0)),""))</f>
        <v/>
      </c>
      <c r="K429" s="19"/>
    </row>
    <row r="430" ht="15.75" customHeight="1">
      <c r="A430" s="18">
        <v>426.0</v>
      </c>
      <c r="B430" s="19" t="s">
        <v>925</v>
      </c>
      <c r="C430" s="19" t="s">
        <v>1611</v>
      </c>
      <c r="D430" s="19" t="s">
        <v>1621</v>
      </c>
      <c r="E430" s="53" t="s">
        <v>42</v>
      </c>
      <c r="F430" s="54" t="s">
        <v>46</v>
      </c>
      <c r="G430" s="61" t="s">
        <v>47</v>
      </c>
      <c r="H430" s="39"/>
      <c r="I430" s="19"/>
      <c r="J430" s="19" t="str">
        <f t="array" ref="J430">IF($I430="","",IFERROR(INDEX(Legend!$C$41:$C$45,MATCH($I430,Legend!$B$41:$B$45,0)),""))</f>
        <v/>
      </c>
      <c r="K430" s="19"/>
    </row>
    <row r="431" ht="15.75" customHeight="1">
      <c r="A431" s="18">
        <v>427.0</v>
      </c>
      <c r="B431" s="19" t="s">
        <v>925</v>
      </c>
      <c r="C431" s="19" t="s">
        <v>1611</v>
      </c>
      <c r="D431" s="19" t="s">
        <v>1624</v>
      </c>
      <c r="E431" s="53" t="s">
        <v>42</v>
      </c>
      <c r="F431" s="48" t="s">
        <v>77</v>
      </c>
      <c r="G431" s="37" t="s">
        <v>49</v>
      </c>
      <c r="H431" s="39" t="s">
        <v>1625</v>
      </c>
      <c r="I431" s="19"/>
      <c r="J431" s="19" t="str">
        <f t="array" ref="J431">IF($I431="","",IFERROR(INDEX(Legend!$C$41:$C$45,MATCH($I431,Legend!$B$41:$B$45,0)),""))</f>
        <v/>
      </c>
      <c r="K431" s="19"/>
    </row>
    <row r="432" ht="15.75" customHeight="1">
      <c r="A432" s="18">
        <v>428.0</v>
      </c>
      <c r="B432" s="19" t="s">
        <v>925</v>
      </c>
      <c r="C432" s="19" t="s">
        <v>1611</v>
      </c>
      <c r="D432" s="19" t="s">
        <v>1626</v>
      </c>
      <c r="E432" s="53" t="s">
        <v>42</v>
      </c>
      <c r="F432" s="31" t="s">
        <v>34</v>
      </c>
      <c r="G432" s="46" t="s">
        <v>50</v>
      </c>
      <c r="H432" s="39" t="s">
        <v>1627</v>
      </c>
      <c r="I432" s="19"/>
      <c r="J432" s="19" t="str">
        <f t="array" ref="J432">IF($I432="","",IFERROR(INDEX(Legend!$C$41:$C$45,MATCH($I432,Legend!$B$41:$B$45,0)),""))</f>
        <v/>
      </c>
      <c r="K432" s="19"/>
    </row>
    <row r="433" ht="15.75" customHeight="1">
      <c r="A433" s="18">
        <v>429.0</v>
      </c>
      <c r="B433" s="19" t="s">
        <v>925</v>
      </c>
      <c r="C433" s="19" t="s">
        <v>1611</v>
      </c>
      <c r="D433" s="19" t="s">
        <v>1630</v>
      </c>
      <c r="E433" s="53" t="s">
        <v>42</v>
      </c>
      <c r="F433" s="31" t="s">
        <v>34</v>
      </c>
      <c r="G433" s="46" t="s">
        <v>50</v>
      </c>
      <c r="H433" s="39"/>
      <c r="I433" s="19"/>
      <c r="J433" s="19" t="str">
        <f t="array" ref="J433">IF($I433="","",IFERROR(INDEX(Legend!$C$41:$C$45,MATCH($I433,Legend!$B$41:$B$45,0)),""))</f>
        <v/>
      </c>
      <c r="K433" s="19"/>
    </row>
    <row r="434" ht="15.75" customHeight="1">
      <c r="A434" s="18">
        <v>430.0</v>
      </c>
      <c r="B434" s="19" t="s">
        <v>925</v>
      </c>
      <c r="C434" s="19" t="s">
        <v>1611</v>
      </c>
      <c r="D434" s="19" t="s">
        <v>1631</v>
      </c>
      <c r="E434" s="53" t="s">
        <v>42</v>
      </c>
      <c r="F434" s="31" t="s">
        <v>34</v>
      </c>
      <c r="G434" s="37" t="s">
        <v>49</v>
      </c>
      <c r="H434" s="39"/>
      <c r="I434" s="19"/>
      <c r="J434" s="19" t="str">
        <f t="array" ref="J434">IF($I434="","",IFERROR(INDEX(Legend!$C$41:$C$45,MATCH($I434,Legend!$B$41:$B$45,0)),""))</f>
        <v/>
      </c>
      <c r="K434" s="19"/>
    </row>
    <row r="435" ht="15.75" customHeight="1">
      <c r="A435" s="18">
        <v>431.0</v>
      </c>
      <c r="B435" s="19" t="s">
        <v>925</v>
      </c>
      <c r="C435" s="19" t="s">
        <v>1611</v>
      </c>
      <c r="D435" s="19" t="s">
        <v>1634</v>
      </c>
      <c r="E435" s="53" t="s">
        <v>42</v>
      </c>
      <c r="F435" s="31" t="s">
        <v>34</v>
      </c>
      <c r="G435" s="37" t="s">
        <v>49</v>
      </c>
      <c r="H435" s="39"/>
      <c r="I435" s="19"/>
      <c r="J435" s="19" t="str">
        <f t="array" ref="J435">IF($I435="","",IFERROR(INDEX(Legend!$C$41:$C$45,MATCH($I435,Legend!$B$41:$B$45,0)),""))</f>
        <v/>
      </c>
      <c r="K435" s="19"/>
    </row>
    <row r="436" ht="15.75" customHeight="1">
      <c r="A436" s="18">
        <v>432.0</v>
      </c>
      <c r="B436" s="19" t="s">
        <v>925</v>
      </c>
      <c r="C436" s="19" t="s">
        <v>1611</v>
      </c>
      <c r="D436" s="19" t="s">
        <v>1635</v>
      </c>
      <c r="E436" s="53" t="s">
        <v>42</v>
      </c>
      <c r="F436" s="31" t="s">
        <v>34</v>
      </c>
      <c r="G436" s="46" t="s">
        <v>50</v>
      </c>
      <c r="H436" s="39"/>
      <c r="I436" s="19"/>
      <c r="J436" s="19" t="str">
        <f t="array" ref="J436">IF($I436="","",IFERROR(INDEX(Legend!$C$41:$C$45,MATCH($I436,Legend!$B$41:$B$45,0)),""))</f>
        <v/>
      </c>
      <c r="K436" s="19"/>
    </row>
    <row r="437" ht="15.75" customHeight="1">
      <c r="A437" s="18">
        <v>433.0</v>
      </c>
      <c r="B437" s="19" t="s">
        <v>925</v>
      </c>
      <c r="C437" s="19" t="s">
        <v>1638</v>
      </c>
      <c r="D437" s="19" t="s">
        <v>1639</v>
      </c>
      <c r="E437" s="53" t="s">
        <v>42</v>
      </c>
      <c r="F437" s="48" t="s">
        <v>77</v>
      </c>
      <c r="G437" s="37" t="s">
        <v>49</v>
      </c>
      <c r="H437" s="39" t="s">
        <v>1640</v>
      </c>
      <c r="I437" s="19"/>
      <c r="J437" s="19" t="str">
        <f t="array" ref="J437">IF($I437="","",IFERROR(INDEX(Legend!$C$41:$C$45,MATCH($I437,Legend!$B$41:$B$45,0)),""))</f>
        <v/>
      </c>
      <c r="K437" s="19"/>
    </row>
    <row r="438" ht="15.75" customHeight="1">
      <c r="A438" s="18">
        <v>434.0</v>
      </c>
      <c r="B438" s="19" t="s">
        <v>925</v>
      </c>
      <c r="C438" s="19" t="s">
        <v>1638</v>
      </c>
      <c r="D438" s="19" t="s">
        <v>1641</v>
      </c>
      <c r="E438" s="53" t="s">
        <v>42</v>
      </c>
      <c r="F438" s="31" t="s">
        <v>34</v>
      </c>
      <c r="G438" s="37" t="s">
        <v>49</v>
      </c>
      <c r="H438" s="39" t="s">
        <v>1642</v>
      </c>
      <c r="I438" s="19"/>
      <c r="J438" s="19" t="str">
        <f t="array" ref="J438">IF($I438="","",IFERROR(INDEX(Legend!$C$41:$C$45,MATCH($I438,Legend!$B$41:$B$45,0)),""))</f>
        <v/>
      </c>
      <c r="K438" s="19"/>
    </row>
    <row r="439" ht="15.75" customHeight="1">
      <c r="A439" s="18">
        <v>435.0</v>
      </c>
      <c r="B439" s="19" t="s">
        <v>925</v>
      </c>
      <c r="C439" s="19" t="s">
        <v>1638</v>
      </c>
      <c r="D439" s="19" t="s">
        <v>1645</v>
      </c>
      <c r="E439" s="53" t="s">
        <v>42</v>
      </c>
      <c r="F439" s="31" t="s">
        <v>34</v>
      </c>
      <c r="G439" s="37" t="s">
        <v>49</v>
      </c>
      <c r="H439" s="39" t="s">
        <v>1646</v>
      </c>
      <c r="I439" s="19"/>
      <c r="J439" s="19" t="str">
        <f t="array" ref="J439">IF($I439="","",IFERROR(INDEX(Legend!$C$41:$C$45,MATCH($I439,Legend!$B$41:$B$45,0)),""))</f>
        <v/>
      </c>
      <c r="K439" s="19"/>
    </row>
    <row r="440" ht="15.75" customHeight="1">
      <c r="A440" s="18">
        <v>436.0</v>
      </c>
      <c r="B440" s="19" t="s">
        <v>925</v>
      </c>
      <c r="C440" s="19" t="s">
        <v>1638</v>
      </c>
      <c r="D440" s="19" t="s">
        <v>1647</v>
      </c>
      <c r="E440" s="53" t="s">
        <v>42</v>
      </c>
      <c r="F440" s="31" t="s">
        <v>34</v>
      </c>
      <c r="G440" s="46" t="s">
        <v>50</v>
      </c>
      <c r="H440" s="39" t="s">
        <v>1648</v>
      </c>
      <c r="I440" s="19"/>
      <c r="J440" s="19" t="str">
        <f t="array" ref="J440">IF($I440="","",IFERROR(INDEX(Legend!$C$41:$C$45,MATCH($I440,Legend!$B$41:$B$45,0)),""))</f>
        <v/>
      </c>
      <c r="K440" s="19"/>
    </row>
    <row r="441" ht="15.75" customHeight="1">
      <c r="A441" s="18">
        <v>437.0</v>
      </c>
      <c r="B441" s="19" t="s">
        <v>925</v>
      </c>
      <c r="C441" s="19" t="s">
        <v>1638</v>
      </c>
      <c r="D441" s="19" t="s">
        <v>1651</v>
      </c>
      <c r="E441" s="53" t="s">
        <v>42</v>
      </c>
      <c r="F441" s="48" t="s">
        <v>77</v>
      </c>
      <c r="G441" s="37" t="s">
        <v>49</v>
      </c>
      <c r="H441" s="39"/>
      <c r="I441" s="19"/>
      <c r="J441" s="19" t="str">
        <f t="array" ref="J441">IF($I441="","",IFERROR(INDEX(Legend!$C$41:$C$45,MATCH($I441,Legend!$B$41:$B$45,0)),""))</f>
        <v/>
      </c>
      <c r="K441" s="19"/>
    </row>
    <row r="442" ht="15.75" customHeight="1">
      <c r="A442" s="18">
        <v>438.0</v>
      </c>
      <c r="B442" s="19" t="s">
        <v>925</v>
      </c>
      <c r="C442" s="19" t="s">
        <v>1638</v>
      </c>
      <c r="D442" s="19" t="s">
        <v>1654</v>
      </c>
      <c r="E442" s="53" t="s">
        <v>42</v>
      </c>
      <c r="F442" s="31" t="s">
        <v>34</v>
      </c>
      <c r="G442" s="46" t="s">
        <v>50</v>
      </c>
      <c r="H442" s="39"/>
      <c r="I442" s="19"/>
      <c r="J442" s="19" t="str">
        <f t="array" ref="J442">IF($I442="","",IFERROR(INDEX(Legend!$C$41:$C$45,MATCH($I442,Legend!$B$41:$B$45,0)),""))</f>
        <v/>
      </c>
      <c r="K442" s="19"/>
    </row>
    <row r="443" ht="15.75" customHeight="1">
      <c r="A443" s="18">
        <v>439.0</v>
      </c>
      <c r="B443" s="19" t="s">
        <v>925</v>
      </c>
      <c r="C443" s="19" t="s">
        <v>1638</v>
      </c>
      <c r="D443" s="19" t="s">
        <v>1655</v>
      </c>
      <c r="E443" s="53" t="s">
        <v>42</v>
      </c>
      <c r="F443" s="54" t="s">
        <v>46</v>
      </c>
      <c r="G443" s="61" t="s">
        <v>47</v>
      </c>
      <c r="H443" s="39"/>
      <c r="I443" s="19"/>
      <c r="J443" s="19" t="str">
        <f t="array" ref="J443">IF($I443="","",IFERROR(INDEX(Legend!$C$41:$C$45,MATCH($I443,Legend!$B$41:$B$45,0)),""))</f>
        <v/>
      </c>
      <c r="K443" s="19"/>
    </row>
    <row r="444" ht="15.75" customHeight="1">
      <c r="A444" s="18">
        <v>440.0</v>
      </c>
      <c r="B444" s="19" t="s">
        <v>925</v>
      </c>
      <c r="C444" s="19" t="s">
        <v>1658</v>
      </c>
      <c r="D444" s="19" t="s">
        <v>1659</v>
      </c>
      <c r="E444" s="53" t="s">
        <v>42</v>
      </c>
      <c r="F444" s="48" t="s">
        <v>77</v>
      </c>
      <c r="G444" s="46" t="s">
        <v>50</v>
      </c>
      <c r="H444" s="39"/>
      <c r="I444" s="19"/>
      <c r="J444" s="19" t="str">
        <f t="array" ref="J444">IF($I444="","",IFERROR(INDEX(Legend!$C$41:$C$45,MATCH($I444,Legend!$B$41:$B$45,0)),""))</f>
        <v/>
      </c>
      <c r="K444" s="19"/>
    </row>
    <row r="445" ht="15.75" customHeight="1">
      <c r="A445" s="18">
        <v>441.0</v>
      </c>
      <c r="B445" s="19" t="s">
        <v>925</v>
      </c>
      <c r="C445" s="19" t="s">
        <v>1658</v>
      </c>
      <c r="D445" s="19" t="s">
        <v>1660</v>
      </c>
      <c r="E445" s="53" t="s">
        <v>42</v>
      </c>
      <c r="F445" s="31" t="s">
        <v>34</v>
      </c>
      <c r="G445" s="46" t="s">
        <v>50</v>
      </c>
      <c r="H445" s="39"/>
      <c r="I445" s="19"/>
      <c r="J445" s="19" t="str">
        <f t="array" ref="J445">IF($I445="","",IFERROR(INDEX(Legend!$C$41:$C$45,MATCH($I445,Legend!$B$41:$B$45,0)),""))</f>
        <v/>
      </c>
      <c r="K445" s="19"/>
    </row>
    <row r="446" ht="15.75" customHeight="1">
      <c r="A446" s="18">
        <v>442.0</v>
      </c>
      <c r="B446" s="19" t="s">
        <v>925</v>
      </c>
      <c r="C446" s="19" t="s">
        <v>1658</v>
      </c>
      <c r="D446" s="19" t="s">
        <v>1663</v>
      </c>
      <c r="E446" s="53" t="s">
        <v>42</v>
      </c>
      <c r="F446" s="48" t="s">
        <v>77</v>
      </c>
      <c r="G446" s="46" t="s">
        <v>50</v>
      </c>
      <c r="H446" s="39" t="s">
        <v>1664</v>
      </c>
      <c r="I446" s="19"/>
      <c r="J446" s="19" t="str">
        <f t="array" ref="J446">IF($I446="","",IFERROR(INDEX(Legend!$C$41:$C$45,MATCH($I446,Legend!$B$41:$B$45,0)),""))</f>
        <v/>
      </c>
      <c r="K446" s="19"/>
    </row>
    <row r="447" ht="15.75" customHeight="1">
      <c r="A447" s="18">
        <v>443.0</v>
      </c>
      <c r="B447" s="19" t="s">
        <v>925</v>
      </c>
      <c r="C447" s="19" t="s">
        <v>1658</v>
      </c>
      <c r="D447" s="19" t="s">
        <v>1665</v>
      </c>
      <c r="E447" s="53" t="s">
        <v>42</v>
      </c>
      <c r="F447" s="31" t="s">
        <v>34</v>
      </c>
      <c r="G447" s="46" t="s">
        <v>50</v>
      </c>
      <c r="H447" s="39"/>
      <c r="I447" s="19"/>
      <c r="J447" s="19" t="str">
        <f t="array" ref="J447">IF($I447="","",IFERROR(INDEX(Legend!$C$41:$C$45,MATCH($I447,Legend!$B$41:$B$45,0)),""))</f>
        <v/>
      </c>
      <c r="K447" s="19"/>
    </row>
    <row r="448" ht="15.75" customHeight="1">
      <c r="A448" s="18">
        <v>444.0</v>
      </c>
      <c r="B448" s="19" t="s">
        <v>925</v>
      </c>
      <c r="C448" s="19" t="s">
        <v>1658</v>
      </c>
      <c r="D448" s="19" t="s">
        <v>1668</v>
      </c>
      <c r="E448" s="53" t="s">
        <v>42</v>
      </c>
      <c r="F448" s="31" t="s">
        <v>34</v>
      </c>
      <c r="G448" s="46" t="s">
        <v>50</v>
      </c>
      <c r="H448" s="39"/>
      <c r="I448" s="19"/>
      <c r="J448" s="19" t="str">
        <f t="array" ref="J448">IF($I448="","",IFERROR(INDEX(Legend!$C$41:$C$45,MATCH($I448,Legend!$B$41:$B$45,0)),""))</f>
        <v/>
      </c>
      <c r="K448" s="19"/>
    </row>
    <row r="449" ht="15.75" customHeight="1">
      <c r="A449" s="18">
        <v>445.0</v>
      </c>
      <c r="B449" s="19" t="s">
        <v>925</v>
      </c>
      <c r="C449" s="19" t="s">
        <v>1658</v>
      </c>
      <c r="D449" s="19" t="s">
        <v>1671</v>
      </c>
      <c r="E449" s="53" t="s">
        <v>42</v>
      </c>
      <c r="F449" s="54" t="s">
        <v>46</v>
      </c>
      <c r="G449" s="61" t="s">
        <v>47</v>
      </c>
      <c r="H449" s="39" t="s">
        <v>1672</v>
      </c>
      <c r="I449" s="19"/>
      <c r="J449" s="19" t="str">
        <f t="array" ref="J449">IF($I449="","",IFERROR(INDEX(Legend!$C$41:$C$45,MATCH($I449,Legend!$B$41:$B$45,0)),""))</f>
        <v/>
      </c>
      <c r="K449" s="19"/>
    </row>
    <row r="450" ht="15.75" customHeight="1">
      <c r="A450" s="18">
        <v>446.0</v>
      </c>
      <c r="B450" s="19" t="s">
        <v>925</v>
      </c>
      <c r="C450" s="19" t="s">
        <v>1658</v>
      </c>
      <c r="D450" s="19" t="s">
        <v>1673</v>
      </c>
      <c r="E450" s="48" t="s">
        <v>43</v>
      </c>
      <c r="F450" s="54" t="s">
        <v>46</v>
      </c>
      <c r="G450" s="61" t="s">
        <v>47</v>
      </c>
      <c r="H450" s="39" t="s">
        <v>488</v>
      </c>
      <c r="I450" s="19"/>
      <c r="J450" s="19" t="str">
        <f t="array" ref="J450">IF($I450="","",IFERROR(INDEX(Legend!$C$41:$C$45,MATCH($I450,Legend!$B$41:$B$45,0)),""))</f>
        <v/>
      </c>
      <c r="K450" s="19"/>
    </row>
    <row r="451" ht="15.75" customHeight="1">
      <c r="A451" s="18">
        <v>447.0</v>
      </c>
      <c r="B451" s="19" t="s">
        <v>925</v>
      </c>
      <c r="C451" s="19" t="s">
        <v>1675</v>
      </c>
      <c r="D451" s="19" t="s">
        <v>1676</v>
      </c>
      <c r="E451" s="53" t="s">
        <v>42</v>
      </c>
      <c r="F451" s="48" t="s">
        <v>77</v>
      </c>
      <c r="G451" s="37" t="s">
        <v>49</v>
      </c>
      <c r="H451" s="39" t="s">
        <v>1678</v>
      </c>
      <c r="I451" s="19"/>
      <c r="J451" s="19" t="str">
        <f t="array" ref="J451">IF($I451="","",IFERROR(INDEX(Legend!$C$41:$C$45,MATCH($I451,Legend!$B$41:$B$45,0)),""))</f>
        <v/>
      </c>
      <c r="K451" s="19"/>
    </row>
    <row r="452" ht="15.75" customHeight="1">
      <c r="A452" s="18">
        <v>448.0</v>
      </c>
      <c r="B452" s="19" t="s">
        <v>925</v>
      </c>
      <c r="C452" s="19" t="s">
        <v>1675</v>
      </c>
      <c r="D452" s="19" t="s">
        <v>1679</v>
      </c>
      <c r="E452" s="53" t="s">
        <v>42</v>
      </c>
      <c r="F452" s="31" t="s">
        <v>34</v>
      </c>
      <c r="G452" s="46" t="s">
        <v>50</v>
      </c>
      <c r="H452" s="39"/>
      <c r="I452" s="19"/>
      <c r="J452" s="19" t="str">
        <f t="array" ref="J452">IF($I452="","",IFERROR(INDEX(Legend!$C$41:$C$45,MATCH($I452,Legend!$B$41:$B$45,0)),""))</f>
        <v/>
      </c>
      <c r="K452" s="19"/>
    </row>
    <row r="453" ht="15.75" customHeight="1">
      <c r="A453" s="18">
        <v>449.0</v>
      </c>
      <c r="B453" s="19" t="s">
        <v>925</v>
      </c>
      <c r="C453" s="19" t="s">
        <v>1675</v>
      </c>
      <c r="D453" s="19" t="s">
        <v>1682</v>
      </c>
      <c r="E453" s="53" t="s">
        <v>42</v>
      </c>
      <c r="F453" s="31" t="s">
        <v>34</v>
      </c>
      <c r="G453" s="37" t="s">
        <v>49</v>
      </c>
      <c r="H453" s="39" t="s">
        <v>1683</v>
      </c>
      <c r="I453" s="19"/>
      <c r="J453" s="19" t="str">
        <f t="array" ref="J453">IF($I453="","",IFERROR(INDEX(Legend!$C$41:$C$45,MATCH($I453,Legend!$B$41:$B$45,0)),""))</f>
        <v/>
      </c>
      <c r="K453" s="19"/>
    </row>
    <row r="454" ht="15.75" customHeight="1">
      <c r="A454" s="18">
        <v>450.0</v>
      </c>
      <c r="B454" s="19" t="s">
        <v>925</v>
      </c>
      <c r="C454" s="19" t="s">
        <v>1675</v>
      </c>
      <c r="D454" s="19" t="s">
        <v>1684</v>
      </c>
      <c r="E454" s="53" t="s">
        <v>42</v>
      </c>
      <c r="F454" s="31" t="s">
        <v>34</v>
      </c>
      <c r="G454" s="37" t="s">
        <v>49</v>
      </c>
      <c r="H454" s="39" t="s">
        <v>1685</v>
      </c>
      <c r="I454" s="19"/>
      <c r="J454" s="19" t="str">
        <f t="array" ref="J454">IF($I454="","",IFERROR(INDEX(Legend!$C$41:$C$45,MATCH($I454,Legend!$B$41:$B$45,0)),""))</f>
        <v/>
      </c>
      <c r="K454" s="19"/>
    </row>
    <row r="455" ht="15.75" customHeight="1">
      <c r="A455" s="18">
        <v>451.0</v>
      </c>
      <c r="B455" s="19" t="s">
        <v>925</v>
      </c>
      <c r="C455" s="19" t="s">
        <v>1675</v>
      </c>
      <c r="D455" s="19" t="s">
        <v>1688</v>
      </c>
      <c r="E455" s="53" t="s">
        <v>42</v>
      </c>
      <c r="F455" s="31" t="s">
        <v>34</v>
      </c>
      <c r="G455" s="46" t="s">
        <v>50</v>
      </c>
      <c r="H455" s="39"/>
      <c r="I455" s="19"/>
      <c r="J455" s="19" t="str">
        <f t="array" ref="J455">IF($I455="","",IFERROR(INDEX(Legend!$C$41:$C$45,MATCH($I455,Legend!$B$41:$B$45,0)),""))</f>
        <v/>
      </c>
      <c r="K455" s="19"/>
    </row>
    <row r="456" ht="15.75" customHeight="1">
      <c r="A456" s="18">
        <v>452.0</v>
      </c>
      <c r="B456" s="19" t="s">
        <v>925</v>
      </c>
      <c r="C456" s="19" t="s">
        <v>1611</v>
      </c>
      <c r="D456" s="19" t="s">
        <v>1691</v>
      </c>
      <c r="E456" s="53" t="s">
        <v>42</v>
      </c>
      <c r="F456" s="48" t="s">
        <v>77</v>
      </c>
      <c r="G456" s="37" t="s">
        <v>49</v>
      </c>
      <c r="H456" s="39" t="s">
        <v>1692</v>
      </c>
      <c r="I456" s="19"/>
      <c r="J456" s="19" t="str">
        <f t="array" ref="J456">IF($I456="","",IFERROR(INDEX(Legend!$C$41:$C$45,MATCH($I456,Legend!$B$41:$B$45,0)),""))</f>
        <v/>
      </c>
      <c r="K456" s="19"/>
    </row>
    <row r="457" ht="15.75" customHeight="1">
      <c r="A457" s="18">
        <v>453.0</v>
      </c>
      <c r="B457" s="19" t="s">
        <v>925</v>
      </c>
      <c r="C457" s="19" t="s">
        <v>1638</v>
      </c>
      <c r="D457" s="19" t="s">
        <v>1654</v>
      </c>
      <c r="E457" s="53" t="s">
        <v>42</v>
      </c>
      <c r="F457" s="54" t="s">
        <v>46</v>
      </c>
      <c r="G457" s="46" t="s">
        <v>50</v>
      </c>
      <c r="H457" s="39" t="s">
        <v>1693</v>
      </c>
      <c r="I457" s="19"/>
      <c r="J457" s="19" t="str">
        <f t="array" ref="J457">IF($I457="","",IFERROR(INDEX(Legend!$C$41:$C$45,MATCH($I457,Legend!$B$41:$B$45,0)),""))</f>
        <v/>
      </c>
      <c r="K457" s="19"/>
    </row>
    <row r="458" ht="15.75" customHeight="1">
      <c r="A458" s="18">
        <v>454.0</v>
      </c>
      <c r="B458" s="19" t="s">
        <v>925</v>
      </c>
      <c r="C458" s="19" t="s">
        <v>1638</v>
      </c>
      <c r="D458" s="19" t="s">
        <v>1696</v>
      </c>
      <c r="E458" s="53" t="s">
        <v>42</v>
      </c>
      <c r="F458" s="31" t="s">
        <v>34</v>
      </c>
      <c r="G458" s="37" t="s">
        <v>49</v>
      </c>
      <c r="H458" s="39" t="s">
        <v>1697</v>
      </c>
      <c r="I458" s="19"/>
      <c r="J458" s="19" t="str">
        <f t="array" ref="J458">IF($I458="","",IFERROR(INDEX(Legend!$C$41:$C$45,MATCH($I458,Legend!$B$41:$B$45,0)),""))</f>
        <v/>
      </c>
      <c r="K458" s="19"/>
    </row>
    <row r="459" ht="15.75" customHeight="1">
      <c r="A459" s="18">
        <v>455.0</v>
      </c>
      <c r="B459" s="19" t="s">
        <v>925</v>
      </c>
      <c r="C459" s="19" t="s">
        <v>1638</v>
      </c>
      <c r="D459" s="19" t="s">
        <v>1698</v>
      </c>
      <c r="E459" s="53" t="s">
        <v>42</v>
      </c>
      <c r="F459" s="48" t="s">
        <v>77</v>
      </c>
      <c r="G459" s="37" t="s">
        <v>49</v>
      </c>
      <c r="H459" s="39" t="s">
        <v>1699</v>
      </c>
      <c r="I459" s="19"/>
      <c r="J459" s="19" t="str">
        <f t="array" ref="J459">IF($I459="","",IFERROR(INDEX(Legend!$C$41:$C$45,MATCH($I459,Legend!$B$41:$B$45,0)),""))</f>
        <v/>
      </c>
      <c r="K459" s="19"/>
    </row>
    <row r="460" ht="15.75" customHeight="1">
      <c r="A460" s="18">
        <v>456.0</v>
      </c>
      <c r="B460" s="19" t="s">
        <v>925</v>
      </c>
      <c r="C460" s="19" t="s">
        <v>1227</v>
      </c>
      <c r="D460" s="19" t="s">
        <v>1702</v>
      </c>
      <c r="E460" s="53" t="s">
        <v>42</v>
      </c>
      <c r="F460" s="54" t="s">
        <v>46</v>
      </c>
      <c r="G460" s="46" t="s">
        <v>50</v>
      </c>
      <c r="H460" s="39" t="s">
        <v>1703</v>
      </c>
      <c r="I460" s="19"/>
      <c r="J460" s="19" t="str">
        <f t="array" ref="J460">IF($I460="","",IFERROR(INDEX(Legend!$C$41:$C$45,MATCH($I460,Legend!$B$41:$B$45,0)),""))</f>
        <v/>
      </c>
      <c r="K460" s="19"/>
    </row>
    <row r="461" ht="15.75" customHeight="1">
      <c r="A461" s="18">
        <v>457.0</v>
      </c>
      <c r="B461" s="19" t="s">
        <v>925</v>
      </c>
      <c r="C461" s="19" t="s">
        <v>1227</v>
      </c>
      <c r="D461" s="19" t="s">
        <v>1704</v>
      </c>
      <c r="E461" s="53" t="s">
        <v>42</v>
      </c>
      <c r="F461" s="31" t="s">
        <v>34</v>
      </c>
      <c r="G461" s="46" t="s">
        <v>50</v>
      </c>
      <c r="H461" s="39" t="s">
        <v>1705</v>
      </c>
      <c r="I461" s="19"/>
      <c r="J461" s="19" t="str">
        <f t="array" ref="J461">IF($I461="","",IFERROR(INDEX(Legend!$C$41:$C$45,MATCH($I461,Legend!$B$41:$B$45,0)),""))</f>
        <v/>
      </c>
      <c r="K461" s="19"/>
    </row>
    <row r="462" ht="15.75" customHeight="1">
      <c r="A462" s="18">
        <v>458.0</v>
      </c>
      <c r="B462" s="19" t="s">
        <v>925</v>
      </c>
      <c r="C462" s="19" t="s">
        <v>1434</v>
      </c>
      <c r="D462" s="19" t="s">
        <v>1708</v>
      </c>
      <c r="E462" s="53" t="s">
        <v>42</v>
      </c>
      <c r="F462" s="54" t="s">
        <v>46</v>
      </c>
      <c r="G462" s="61" t="s">
        <v>47</v>
      </c>
      <c r="H462" s="39" t="s">
        <v>1709</v>
      </c>
      <c r="I462" s="19"/>
      <c r="J462" s="19" t="str">
        <f t="array" ref="J462">IF($I462="","",IFERROR(INDEX(Legend!$C$41:$C$45,MATCH($I462,Legend!$B$41:$B$45,0)),""))</f>
        <v/>
      </c>
      <c r="K462" s="19"/>
    </row>
    <row r="463" ht="15.75" customHeight="1">
      <c r="A463" s="18">
        <v>459.0</v>
      </c>
      <c r="B463" s="19" t="s">
        <v>925</v>
      </c>
      <c r="C463" s="19" t="s">
        <v>1585</v>
      </c>
      <c r="D463" s="19" t="s">
        <v>1710</v>
      </c>
      <c r="E463" s="53" t="s">
        <v>42</v>
      </c>
      <c r="F463" s="54" t="s">
        <v>46</v>
      </c>
      <c r="G463" s="46" t="s">
        <v>50</v>
      </c>
      <c r="H463" s="39" t="s">
        <v>1713</v>
      </c>
      <c r="I463" s="19"/>
      <c r="J463" s="19" t="str">
        <f t="array" ref="J463">IF($I463="","",IFERROR(INDEX(Legend!$C$41:$C$45,MATCH($I463,Legend!$B$41:$B$45,0)),""))</f>
        <v/>
      </c>
      <c r="K463" s="19"/>
    </row>
    <row r="464" ht="15.75" customHeight="1">
      <c r="A464" s="18">
        <v>460.0</v>
      </c>
      <c r="B464" s="19" t="s">
        <v>925</v>
      </c>
      <c r="C464" s="19" t="s">
        <v>1585</v>
      </c>
      <c r="D464" s="19" t="s">
        <v>1716</v>
      </c>
      <c r="E464" s="53" t="s">
        <v>42</v>
      </c>
      <c r="F464" s="54" t="s">
        <v>46</v>
      </c>
      <c r="G464" s="46" t="s">
        <v>50</v>
      </c>
      <c r="H464" s="39" t="s">
        <v>1717</v>
      </c>
      <c r="I464" s="19"/>
      <c r="J464" s="19" t="str">
        <f t="array" ref="J464">IF($I464="","",IFERROR(INDEX(Legend!$C$41:$C$45,MATCH($I464,Legend!$B$41:$B$45,0)),""))</f>
        <v/>
      </c>
      <c r="K464" s="19"/>
    </row>
    <row r="465" ht="15.75" customHeight="1">
      <c r="A465" s="18">
        <v>461.0</v>
      </c>
      <c r="B465" s="19" t="s">
        <v>925</v>
      </c>
      <c r="C465" s="19" t="s">
        <v>1675</v>
      </c>
      <c r="D465" s="19" t="s">
        <v>1720</v>
      </c>
      <c r="E465" s="53" t="s">
        <v>42</v>
      </c>
      <c r="F465" s="54" t="s">
        <v>46</v>
      </c>
      <c r="G465" s="46" t="s">
        <v>50</v>
      </c>
      <c r="H465" s="39" t="s">
        <v>1721</v>
      </c>
      <c r="I465" s="19"/>
      <c r="J465" s="19" t="str">
        <f t="array" ref="J465">IF($I465="","",IFERROR(INDEX(Legend!$C$41:$C$45,MATCH($I465,Legend!$B$41:$B$45,0)),""))</f>
        <v/>
      </c>
      <c r="K465" s="19"/>
    </row>
    <row r="466" ht="15.75" customHeight="1">
      <c r="A466" s="18">
        <v>462.0</v>
      </c>
      <c r="B466" s="19" t="s">
        <v>932</v>
      </c>
      <c r="C466" s="19" t="s">
        <v>1722</v>
      </c>
      <c r="D466" s="19" t="s">
        <v>1723</v>
      </c>
      <c r="E466" s="20" t="s">
        <v>33</v>
      </c>
      <c r="F466" s="48" t="s">
        <v>77</v>
      </c>
      <c r="G466" s="37" t="s">
        <v>49</v>
      </c>
      <c r="H466" s="39" t="s">
        <v>1724</v>
      </c>
      <c r="I466" s="19"/>
      <c r="J466" s="19" t="str">
        <f t="array" ref="J466">IF($I466="","",IFERROR(INDEX(Legend!$C$41:$C$45,MATCH($I466,Legend!$B$41:$B$45,0)),""))</f>
        <v/>
      </c>
      <c r="K466" s="19"/>
    </row>
    <row r="467" ht="15.75" customHeight="1">
      <c r="A467" s="18">
        <v>463.0</v>
      </c>
      <c r="B467" s="19" t="s">
        <v>932</v>
      </c>
      <c r="C467" s="19" t="s">
        <v>1722</v>
      </c>
      <c r="D467" s="19" t="s">
        <v>1727</v>
      </c>
      <c r="E467" s="53" t="s">
        <v>42</v>
      </c>
      <c r="F467" s="48" t="s">
        <v>77</v>
      </c>
      <c r="G467" s="46" t="s">
        <v>50</v>
      </c>
      <c r="H467" s="39" t="s">
        <v>1728</v>
      </c>
      <c r="I467" s="19"/>
      <c r="J467" s="19" t="str">
        <f t="array" ref="J467">IF($I467="","",IFERROR(INDEX(Legend!$C$41:$C$45,MATCH($I467,Legend!$B$41:$B$45,0)),""))</f>
        <v/>
      </c>
      <c r="K467" s="19"/>
    </row>
    <row r="468" ht="15.75" customHeight="1">
      <c r="A468" s="18">
        <v>464.0</v>
      </c>
      <c r="B468" s="19" t="s">
        <v>932</v>
      </c>
      <c r="C468" s="19" t="s">
        <v>1722</v>
      </c>
      <c r="D468" s="19" t="s">
        <v>1729</v>
      </c>
      <c r="E468" s="20" t="s">
        <v>33</v>
      </c>
      <c r="F468" s="31" t="s">
        <v>34</v>
      </c>
      <c r="G468" s="37" t="s">
        <v>49</v>
      </c>
      <c r="H468" s="39"/>
      <c r="I468" s="19"/>
      <c r="J468" s="19" t="str">
        <f t="array" ref="J468">IF($I468="","",IFERROR(INDEX(Legend!$C$41:$C$45,MATCH($I468,Legend!$B$41:$B$45,0)),""))</f>
        <v/>
      </c>
      <c r="K468" s="19"/>
    </row>
    <row r="469" ht="15.75" customHeight="1">
      <c r="A469" s="18">
        <v>465.0</v>
      </c>
      <c r="B469" s="19" t="s">
        <v>932</v>
      </c>
      <c r="C469" s="19" t="s">
        <v>1722</v>
      </c>
      <c r="D469" s="19" t="s">
        <v>1732</v>
      </c>
      <c r="E469" s="20" t="s">
        <v>33</v>
      </c>
      <c r="F469" s="31" t="s">
        <v>34</v>
      </c>
      <c r="G469" s="37" t="s">
        <v>49</v>
      </c>
      <c r="H469" s="39"/>
      <c r="I469" s="19"/>
      <c r="J469" s="19" t="str">
        <f t="array" ref="J469">IF($I469="","",IFERROR(INDEX(Legend!$C$41:$C$45,MATCH($I469,Legend!$B$41:$B$45,0)),""))</f>
        <v/>
      </c>
      <c r="K469" s="19"/>
    </row>
    <row r="470" ht="15.75" customHeight="1">
      <c r="A470" s="18">
        <v>466.0</v>
      </c>
      <c r="B470" s="19" t="s">
        <v>932</v>
      </c>
      <c r="C470" s="19" t="s">
        <v>1722</v>
      </c>
      <c r="D470" s="19" t="s">
        <v>1734</v>
      </c>
      <c r="E470" s="53" t="s">
        <v>42</v>
      </c>
      <c r="F470" s="48" t="s">
        <v>77</v>
      </c>
      <c r="G470" s="37" t="s">
        <v>49</v>
      </c>
      <c r="H470" s="39" t="s">
        <v>1735</v>
      </c>
      <c r="I470" s="19"/>
      <c r="J470" s="19" t="str">
        <f t="array" ref="J470">IF($I470="","",IFERROR(INDEX(Legend!$C$41:$C$45,MATCH($I470,Legend!$B$41:$B$45,0)),""))</f>
        <v/>
      </c>
      <c r="K470" s="19"/>
    </row>
    <row r="471" ht="15.75" customHeight="1">
      <c r="A471" s="18">
        <v>467.0</v>
      </c>
      <c r="B471" s="19" t="s">
        <v>932</v>
      </c>
      <c r="C471" s="19" t="s">
        <v>1722</v>
      </c>
      <c r="D471" s="19" t="s">
        <v>1737</v>
      </c>
      <c r="E471" s="53" t="s">
        <v>42</v>
      </c>
      <c r="F471" s="31" t="s">
        <v>34</v>
      </c>
      <c r="G471" s="46" t="s">
        <v>50</v>
      </c>
      <c r="H471" s="39"/>
      <c r="I471" s="19"/>
      <c r="J471" s="19" t="str">
        <f t="array" ref="J471">IF($I471="","",IFERROR(INDEX(Legend!$C$41:$C$45,MATCH($I471,Legend!$B$41:$B$45,0)),""))</f>
        <v/>
      </c>
      <c r="K471" s="19"/>
    </row>
    <row r="472" ht="15.75" customHeight="1">
      <c r="A472" s="18">
        <v>468.0</v>
      </c>
      <c r="B472" s="19" t="s">
        <v>932</v>
      </c>
      <c r="C472" s="19" t="s">
        <v>1722</v>
      </c>
      <c r="D472" s="19" t="s">
        <v>1740</v>
      </c>
      <c r="E472" s="53" t="s">
        <v>42</v>
      </c>
      <c r="F472" s="31" t="s">
        <v>34</v>
      </c>
      <c r="G472" s="37" t="s">
        <v>49</v>
      </c>
      <c r="H472" s="39" t="s">
        <v>1741</v>
      </c>
      <c r="I472" s="19"/>
      <c r="J472" s="19" t="str">
        <f t="array" ref="J472">IF($I472="","",IFERROR(INDEX(Legend!$C$41:$C$45,MATCH($I472,Legend!$B$41:$B$45,0)),""))</f>
        <v/>
      </c>
      <c r="K472" s="19"/>
    </row>
    <row r="473" ht="15.75" customHeight="1">
      <c r="A473" s="18">
        <v>469.0</v>
      </c>
      <c r="B473" s="19" t="s">
        <v>932</v>
      </c>
      <c r="C473" s="19" t="s">
        <v>1722</v>
      </c>
      <c r="D473" s="19" t="s">
        <v>1742</v>
      </c>
      <c r="E473" s="20" t="s">
        <v>33</v>
      </c>
      <c r="F473" s="48" t="s">
        <v>77</v>
      </c>
      <c r="G473" s="37" t="s">
        <v>49</v>
      </c>
      <c r="H473" s="39" t="s">
        <v>1743</v>
      </c>
      <c r="I473" s="19"/>
      <c r="J473" s="19" t="str">
        <f t="array" ref="J473">IF($I473="","",IFERROR(INDEX(Legend!$C$41:$C$45,MATCH($I473,Legend!$B$41:$B$45,0)),""))</f>
        <v/>
      </c>
      <c r="K473" s="19"/>
    </row>
    <row r="474" ht="15.75" customHeight="1">
      <c r="A474" s="18">
        <v>470.0</v>
      </c>
      <c r="B474" s="19" t="s">
        <v>932</v>
      </c>
      <c r="C474" s="19" t="s">
        <v>1722</v>
      </c>
      <c r="D474" s="19" t="s">
        <v>1746</v>
      </c>
      <c r="E474" s="53" t="s">
        <v>42</v>
      </c>
      <c r="F474" s="31" t="s">
        <v>34</v>
      </c>
      <c r="G474" s="37" t="s">
        <v>49</v>
      </c>
      <c r="H474" s="39" t="s">
        <v>1747</v>
      </c>
      <c r="I474" s="19"/>
      <c r="J474" s="19" t="str">
        <f t="array" ref="J474">IF($I474="","",IFERROR(INDEX(Legend!$C$41:$C$45,MATCH($I474,Legend!$B$41:$B$45,0)),""))</f>
        <v/>
      </c>
      <c r="K474" s="19"/>
    </row>
    <row r="475" ht="15.75" customHeight="1">
      <c r="A475" s="18">
        <v>471.0</v>
      </c>
      <c r="B475" s="19" t="s">
        <v>932</v>
      </c>
      <c r="C475" s="19" t="s">
        <v>1722</v>
      </c>
      <c r="D475" s="19" t="s">
        <v>1748</v>
      </c>
      <c r="E475" s="20" t="s">
        <v>33</v>
      </c>
      <c r="F475" s="31" t="s">
        <v>34</v>
      </c>
      <c r="G475" s="37" t="s">
        <v>49</v>
      </c>
      <c r="H475" s="39"/>
      <c r="I475" s="19"/>
      <c r="J475" s="19" t="str">
        <f t="array" ref="J475">IF($I475="","",IFERROR(INDEX(Legend!$C$41:$C$45,MATCH($I475,Legend!$B$41:$B$45,0)),""))</f>
        <v/>
      </c>
      <c r="K475" s="19"/>
    </row>
    <row r="476" ht="15.75" customHeight="1">
      <c r="A476" s="18">
        <v>472.0</v>
      </c>
      <c r="B476" s="19" t="s">
        <v>932</v>
      </c>
      <c r="C476" s="19" t="s">
        <v>1722</v>
      </c>
      <c r="D476" s="19" t="s">
        <v>1751</v>
      </c>
      <c r="E476" s="53" t="s">
        <v>42</v>
      </c>
      <c r="F476" s="31" t="s">
        <v>34</v>
      </c>
      <c r="G476" s="37" t="s">
        <v>49</v>
      </c>
      <c r="H476" s="39"/>
      <c r="I476" s="19"/>
      <c r="J476" s="19" t="str">
        <f t="array" ref="J476">IF($I476="","",IFERROR(INDEX(Legend!$C$41:$C$45,MATCH($I476,Legend!$B$41:$B$45,0)),""))</f>
        <v/>
      </c>
      <c r="K476" s="19"/>
    </row>
    <row r="477" ht="15.75" customHeight="1">
      <c r="A477" s="18">
        <v>473.0</v>
      </c>
      <c r="B477" s="19" t="s">
        <v>932</v>
      </c>
      <c r="C477" s="19" t="s">
        <v>1722</v>
      </c>
      <c r="D477" s="19" t="s">
        <v>1752</v>
      </c>
      <c r="E477" s="53" t="s">
        <v>42</v>
      </c>
      <c r="F477" s="31" t="s">
        <v>34</v>
      </c>
      <c r="G477" s="46" t="s">
        <v>50</v>
      </c>
      <c r="H477" s="39" t="s">
        <v>1753</v>
      </c>
      <c r="I477" s="19"/>
      <c r="J477" s="19" t="str">
        <f t="array" ref="J477">IF($I477="","",IFERROR(INDEX(Legend!$C$41:$C$45,MATCH($I477,Legend!$B$41:$B$45,0)),""))</f>
        <v/>
      </c>
      <c r="K477" s="19"/>
    </row>
    <row r="478" ht="15.75" customHeight="1">
      <c r="A478" s="18">
        <v>474.0</v>
      </c>
      <c r="B478" s="19" t="s">
        <v>932</v>
      </c>
      <c r="C478" s="19" t="s">
        <v>1722</v>
      </c>
      <c r="D478" s="19" t="s">
        <v>1757</v>
      </c>
      <c r="E478" s="53" t="s">
        <v>42</v>
      </c>
      <c r="F478" s="48" t="s">
        <v>77</v>
      </c>
      <c r="G478" s="37" t="s">
        <v>49</v>
      </c>
      <c r="H478" s="39" t="s">
        <v>1758</v>
      </c>
      <c r="I478" s="19"/>
      <c r="J478" s="19" t="str">
        <f t="array" ref="J478">IF($I478="","",IFERROR(INDEX(Legend!$C$41:$C$45,MATCH($I478,Legend!$B$41:$B$45,0)),""))</f>
        <v/>
      </c>
      <c r="K478" s="19"/>
    </row>
    <row r="479" ht="15.75" customHeight="1">
      <c r="A479" s="18">
        <v>475.0</v>
      </c>
      <c r="B479" s="19" t="s">
        <v>932</v>
      </c>
      <c r="C479" s="19" t="s">
        <v>1722</v>
      </c>
      <c r="D479" s="19" t="s">
        <v>1759</v>
      </c>
      <c r="E479" s="20" t="s">
        <v>33</v>
      </c>
      <c r="F479" s="31" t="s">
        <v>34</v>
      </c>
      <c r="G479" s="37" t="s">
        <v>49</v>
      </c>
      <c r="H479" s="39"/>
      <c r="I479" s="19"/>
      <c r="J479" s="19" t="str">
        <f t="array" ref="J479">IF($I479="","",IFERROR(INDEX(Legend!$C$41:$C$45,MATCH($I479,Legend!$B$41:$B$45,0)),""))</f>
        <v/>
      </c>
      <c r="K479" s="19"/>
    </row>
    <row r="480" ht="15.75" customHeight="1">
      <c r="A480" s="18">
        <v>476.0</v>
      </c>
      <c r="B480" s="19" t="s">
        <v>932</v>
      </c>
      <c r="C480" s="19" t="s">
        <v>1722</v>
      </c>
      <c r="D480" s="19" t="s">
        <v>1761</v>
      </c>
      <c r="E480" s="53" t="s">
        <v>42</v>
      </c>
      <c r="F480" s="48" t="s">
        <v>77</v>
      </c>
      <c r="G480" s="37" t="s">
        <v>49</v>
      </c>
      <c r="H480" s="39" t="s">
        <v>1762</v>
      </c>
      <c r="I480" s="19"/>
      <c r="J480" s="19" t="str">
        <f t="array" ref="J480">IF($I480="","",IFERROR(INDEX(Legend!$C$41:$C$45,MATCH($I480,Legend!$B$41:$B$45,0)),""))</f>
        <v/>
      </c>
      <c r="K480" s="19"/>
    </row>
    <row r="481" ht="15.75" customHeight="1">
      <c r="A481" s="18">
        <v>477.0</v>
      </c>
      <c r="B481" s="19" t="s">
        <v>932</v>
      </c>
      <c r="C481" s="19" t="s">
        <v>1722</v>
      </c>
      <c r="D481" s="19" t="s">
        <v>1764</v>
      </c>
      <c r="E481" s="53" t="s">
        <v>42</v>
      </c>
      <c r="F481" s="31" t="s">
        <v>34</v>
      </c>
      <c r="G481" s="37" t="s">
        <v>49</v>
      </c>
      <c r="H481" s="39"/>
      <c r="I481" s="19"/>
      <c r="J481" s="19" t="str">
        <f t="array" ref="J481">IF($I481="","",IFERROR(INDEX(Legend!$C$41:$C$45,MATCH($I481,Legend!$B$41:$B$45,0)),""))</f>
        <v/>
      </c>
      <c r="K481" s="19"/>
    </row>
    <row r="482" ht="15.75" customHeight="1">
      <c r="A482" s="18">
        <v>478.0</v>
      </c>
      <c r="B482" s="19" t="s">
        <v>932</v>
      </c>
      <c r="C482" s="19" t="s">
        <v>1722</v>
      </c>
      <c r="D482" s="19" t="s">
        <v>1766</v>
      </c>
      <c r="E482" s="53" t="s">
        <v>42</v>
      </c>
      <c r="F482" s="31" t="s">
        <v>34</v>
      </c>
      <c r="G482" s="37" t="s">
        <v>49</v>
      </c>
      <c r="H482" s="39" t="s">
        <v>1768</v>
      </c>
      <c r="I482" s="19"/>
      <c r="J482" s="19" t="str">
        <f t="array" ref="J482">IF($I482="","",IFERROR(INDEX(Legend!$C$41:$C$45,MATCH($I482,Legend!$B$41:$B$45,0)),""))</f>
        <v/>
      </c>
      <c r="K482" s="19"/>
    </row>
    <row r="483" ht="15.75" customHeight="1">
      <c r="A483" s="18">
        <v>479.0</v>
      </c>
      <c r="B483" s="19" t="s">
        <v>932</v>
      </c>
      <c r="C483" s="19" t="s">
        <v>1722</v>
      </c>
      <c r="D483" s="19" t="s">
        <v>1769</v>
      </c>
      <c r="E483" s="53" t="s">
        <v>42</v>
      </c>
      <c r="F483" s="31" t="s">
        <v>34</v>
      </c>
      <c r="G483" s="46" t="s">
        <v>50</v>
      </c>
      <c r="H483" s="39"/>
      <c r="I483" s="19"/>
      <c r="J483" s="19" t="str">
        <f t="array" ref="J483">IF($I483="","",IFERROR(INDEX(Legend!$C$41:$C$45,MATCH($I483,Legend!$B$41:$B$45,0)),""))</f>
        <v/>
      </c>
      <c r="K483" s="19"/>
    </row>
    <row r="484" ht="15.75" customHeight="1">
      <c r="A484" s="18">
        <v>480.0</v>
      </c>
      <c r="B484" s="19" t="s">
        <v>932</v>
      </c>
      <c r="C484" s="19" t="s">
        <v>1722</v>
      </c>
      <c r="D484" s="19" t="s">
        <v>1772</v>
      </c>
      <c r="E484" s="53" t="s">
        <v>42</v>
      </c>
      <c r="F484" s="31" t="s">
        <v>34</v>
      </c>
      <c r="G484" s="37" t="s">
        <v>49</v>
      </c>
      <c r="H484" s="39"/>
      <c r="I484" s="19"/>
      <c r="J484" s="19" t="str">
        <f t="array" ref="J484">IF($I484="","",IFERROR(INDEX(Legend!$C$41:$C$45,MATCH($I484,Legend!$B$41:$B$45,0)),""))</f>
        <v/>
      </c>
      <c r="K484" s="19"/>
    </row>
    <row r="485" ht="15.75" customHeight="1">
      <c r="A485" s="18">
        <v>481.0</v>
      </c>
      <c r="B485" s="19" t="s">
        <v>932</v>
      </c>
      <c r="C485" s="19" t="s">
        <v>1722</v>
      </c>
      <c r="D485" s="19" t="s">
        <v>1773</v>
      </c>
      <c r="E485" s="53" t="s">
        <v>42</v>
      </c>
      <c r="F485" s="31" t="s">
        <v>34</v>
      </c>
      <c r="G485" s="46" t="s">
        <v>50</v>
      </c>
      <c r="H485" s="39"/>
      <c r="I485" s="19"/>
      <c r="J485" s="19" t="str">
        <f t="array" ref="J485">IF($I485="","",IFERROR(INDEX(Legend!$C$41:$C$45,MATCH($I485,Legend!$B$41:$B$45,0)),""))</f>
        <v/>
      </c>
      <c r="K485" s="19"/>
    </row>
    <row r="486" ht="15.75" customHeight="1">
      <c r="A486" s="18">
        <v>482.0</v>
      </c>
      <c r="B486" s="19" t="s">
        <v>932</v>
      </c>
      <c r="C486" s="19" t="s">
        <v>1722</v>
      </c>
      <c r="D486" s="19" t="s">
        <v>1776</v>
      </c>
      <c r="E486" s="53" t="s">
        <v>42</v>
      </c>
      <c r="F486" s="48" t="s">
        <v>77</v>
      </c>
      <c r="G486" s="37" t="s">
        <v>49</v>
      </c>
      <c r="H486" s="39" t="s">
        <v>1777</v>
      </c>
      <c r="I486" s="19"/>
      <c r="J486" s="19" t="str">
        <f t="array" ref="J486">IF($I486="","",IFERROR(INDEX(Legend!$C$41:$C$45,MATCH($I486,Legend!$B$41:$B$45,0)),""))</f>
        <v/>
      </c>
      <c r="K486" s="19"/>
    </row>
    <row r="487" ht="15.75" customHeight="1">
      <c r="A487" s="18">
        <v>483.0</v>
      </c>
      <c r="B487" s="19" t="s">
        <v>932</v>
      </c>
      <c r="C487" s="19" t="s">
        <v>1778</v>
      </c>
      <c r="D487" s="19" t="s">
        <v>1779</v>
      </c>
      <c r="E487" s="20" t="s">
        <v>33</v>
      </c>
      <c r="F487" s="48" t="s">
        <v>77</v>
      </c>
      <c r="G487" s="37" t="s">
        <v>49</v>
      </c>
      <c r="H487" s="39" t="s">
        <v>1780</v>
      </c>
      <c r="I487" s="19"/>
      <c r="J487" s="19" t="str">
        <f t="array" ref="J487">IF($I487="","",IFERROR(INDEX(Legend!$C$41:$C$45,MATCH($I487,Legend!$B$41:$B$45,0)),""))</f>
        <v/>
      </c>
      <c r="K487" s="19"/>
    </row>
    <row r="488" ht="15.75" customHeight="1">
      <c r="A488" s="18">
        <v>484.0</v>
      </c>
      <c r="B488" s="19" t="s">
        <v>932</v>
      </c>
      <c r="C488" s="19" t="s">
        <v>1778</v>
      </c>
      <c r="D488" s="19" t="s">
        <v>1783</v>
      </c>
      <c r="E488" s="53" t="s">
        <v>42</v>
      </c>
      <c r="F488" s="48" t="s">
        <v>77</v>
      </c>
      <c r="G488" s="37" t="s">
        <v>49</v>
      </c>
      <c r="H488" s="39" t="s">
        <v>1784</v>
      </c>
      <c r="I488" s="19"/>
      <c r="J488" s="19" t="str">
        <f t="array" ref="J488">IF($I488="","",IFERROR(INDEX(Legend!$C$41:$C$45,MATCH($I488,Legend!$B$41:$B$45,0)),""))</f>
        <v/>
      </c>
      <c r="K488" s="19"/>
    </row>
    <row r="489" ht="15.75" customHeight="1">
      <c r="A489" s="18">
        <v>485.0</v>
      </c>
      <c r="B489" s="19" t="s">
        <v>932</v>
      </c>
      <c r="C489" s="19" t="s">
        <v>1778</v>
      </c>
      <c r="D489" s="19" t="s">
        <v>1787</v>
      </c>
      <c r="E489" s="53" t="s">
        <v>42</v>
      </c>
      <c r="F489" s="31" t="s">
        <v>34</v>
      </c>
      <c r="G489" s="37" t="s">
        <v>49</v>
      </c>
      <c r="H489" s="39" t="s">
        <v>1788</v>
      </c>
      <c r="I489" s="19"/>
      <c r="J489" s="19" t="str">
        <f t="array" ref="J489">IF($I489="","",IFERROR(INDEX(Legend!$C$41:$C$45,MATCH($I489,Legend!$B$41:$B$45,0)),""))</f>
        <v/>
      </c>
      <c r="K489" s="19"/>
    </row>
    <row r="490" ht="15.75" customHeight="1">
      <c r="A490" s="18">
        <v>486.0</v>
      </c>
      <c r="B490" s="19" t="s">
        <v>932</v>
      </c>
      <c r="C490" s="19" t="s">
        <v>1778</v>
      </c>
      <c r="D490" s="19" t="s">
        <v>1789</v>
      </c>
      <c r="E490" s="53" t="s">
        <v>42</v>
      </c>
      <c r="F490" s="31" t="s">
        <v>34</v>
      </c>
      <c r="G490" s="37" t="s">
        <v>49</v>
      </c>
      <c r="H490" s="39" t="s">
        <v>1790</v>
      </c>
      <c r="I490" s="19"/>
      <c r="J490" s="19" t="str">
        <f t="array" ref="J490">IF($I490="","",IFERROR(INDEX(Legend!$C$41:$C$45,MATCH($I490,Legend!$B$41:$B$45,0)),""))</f>
        <v/>
      </c>
      <c r="K490" s="19"/>
    </row>
    <row r="491" ht="15.75" customHeight="1">
      <c r="A491" s="18">
        <v>487.0</v>
      </c>
      <c r="B491" s="19" t="s">
        <v>932</v>
      </c>
      <c r="C491" s="19" t="s">
        <v>1778</v>
      </c>
      <c r="D491" s="19" t="s">
        <v>1793</v>
      </c>
      <c r="E491" s="53" t="s">
        <v>42</v>
      </c>
      <c r="F491" s="48" t="s">
        <v>77</v>
      </c>
      <c r="G491" s="37" t="s">
        <v>49</v>
      </c>
      <c r="H491" s="39" t="s">
        <v>1794</v>
      </c>
      <c r="I491" s="19"/>
      <c r="J491" s="19" t="str">
        <f t="array" ref="J491">IF($I491="","",IFERROR(INDEX(Legend!$C$41:$C$45,MATCH($I491,Legend!$B$41:$B$45,0)),""))</f>
        <v/>
      </c>
      <c r="K491" s="19"/>
    </row>
    <row r="492" ht="15.75" customHeight="1">
      <c r="A492" s="18">
        <v>488.0</v>
      </c>
      <c r="B492" s="19" t="s">
        <v>932</v>
      </c>
      <c r="C492" s="19" t="s">
        <v>1778</v>
      </c>
      <c r="D492" s="19" t="s">
        <v>1795</v>
      </c>
      <c r="E492" s="53" t="s">
        <v>42</v>
      </c>
      <c r="F492" s="48" t="s">
        <v>77</v>
      </c>
      <c r="G492" s="37" t="s">
        <v>49</v>
      </c>
      <c r="H492" s="39" t="s">
        <v>1796</v>
      </c>
      <c r="I492" s="19"/>
      <c r="J492" s="19" t="str">
        <f t="array" ref="J492">IF($I492="","",IFERROR(INDEX(Legend!$C$41:$C$45,MATCH($I492,Legend!$B$41:$B$45,0)),""))</f>
        <v/>
      </c>
      <c r="K492" s="19"/>
    </row>
    <row r="493" ht="15.75" customHeight="1">
      <c r="A493" s="18">
        <v>489.0</v>
      </c>
      <c r="B493" s="19" t="s">
        <v>932</v>
      </c>
      <c r="C493" s="19" t="s">
        <v>1778</v>
      </c>
      <c r="D493" s="19" t="s">
        <v>1799</v>
      </c>
      <c r="E493" s="53" t="s">
        <v>42</v>
      </c>
      <c r="F493" s="48" t="s">
        <v>77</v>
      </c>
      <c r="G493" s="37" t="s">
        <v>49</v>
      </c>
      <c r="H493" s="39" t="s">
        <v>1800</v>
      </c>
      <c r="I493" s="19"/>
      <c r="J493" s="19" t="str">
        <f t="array" ref="J493">IF($I493="","",IFERROR(INDEX(Legend!$C$41:$C$45,MATCH($I493,Legend!$B$41:$B$45,0)),""))</f>
        <v/>
      </c>
      <c r="K493" s="19"/>
    </row>
    <row r="494" ht="15.75" customHeight="1">
      <c r="A494" s="18">
        <v>490.0</v>
      </c>
      <c r="B494" s="19" t="s">
        <v>932</v>
      </c>
      <c r="C494" s="19" t="s">
        <v>1778</v>
      </c>
      <c r="D494" s="19" t="s">
        <v>1801</v>
      </c>
      <c r="E494" s="53" t="s">
        <v>42</v>
      </c>
      <c r="F494" s="48" t="s">
        <v>77</v>
      </c>
      <c r="G494" s="46" t="s">
        <v>50</v>
      </c>
      <c r="H494" s="39" t="s">
        <v>1802</v>
      </c>
      <c r="I494" s="19"/>
      <c r="J494" s="19" t="str">
        <f t="array" ref="J494">IF($I494="","",IFERROR(INDEX(Legend!$C$41:$C$45,MATCH($I494,Legend!$B$41:$B$45,0)),""))</f>
        <v/>
      </c>
      <c r="K494" s="19"/>
    </row>
    <row r="495" ht="15.75" customHeight="1">
      <c r="A495" s="18">
        <v>491.0</v>
      </c>
      <c r="B495" s="19" t="s">
        <v>932</v>
      </c>
      <c r="C495" s="19" t="s">
        <v>1778</v>
      </c>
      <c r="D495" s="19" t="s">
        <v>1805</v>
      </c>
      <c r="E495" s="20" t="s">
        <v>33</v>
      </c>
      <c r="F495" s="48" t="s">
        <v>77</v>
      </c>
      <c r="G495" s="37" t="s">
        <v>49</v>
      </c>
      <c r="H495" s="39" t="s">
        <v>1806</v>
      </c>
      <c r="I495" s="19"/>
      <c r="J495" s="19" t="str">
        <f t="array" ref="J495">IF($I495="","",IFERROR(INDEX(Legend!$C$41:$C$45,MATCH($I495,Legend!$B$41:$B$45,0)),""))</f>
        <v/>
      </c>
      <c r="K495" s="19"/>
    </row>
    <row r="496" ht="15.75" customHeight="1">
      <c r="A496" s="18">
        <v>492.0</v>
      </c>
      <c r="B496" s="19" t="s">
        <v>932</v>
      </c>
      <c r="C496" s="19" t="s">
        <v>1778</v>
      </c>
      <c r="D496" s="19" t="s">
        <v>1807</v>
      </c>
      <c r="E496" s="53" t="s">
        <v>42</v>
      </c>
      <c r="F496" s="31" t="s">
        <v>34</v>
      </c>
      <c r="G496" s="37" t="s">
        <v>49</v>
      </c>
      <c r="H496" s="39" t="s">
        <v>1808</v>
      </c>
      <c r="I496" s="19"/>
      <c r="J496" s="19" t="str">
        <f t="array" ref="J496">IF($I496="","",IFERROR(INDEX(Legend!$C$41:$C$45,MATCH($I496,Legend!$B$41:$B$45,0)),""))</f>
        <v/>
      </c>
      <c r="K496" s="19"/>
    </row>
    <row r="497" ht="15.75" customHeight="1">
      <c r="A497" s="18">
        <v>493.0</v>
      </c>
      <c r="B497" s="19" t="s">
        <v>932</v>
      </c>
      <c r="C497" s="19" t="s">
        <v>1778</v>
      </c>
      <c r="D497" s="19" t="s">
        <v>1811</v>
      </c>
      <c r="E497" s="20" t="s">
        <v>33</v>
      </c>
      <c r="F497" s="48" t="s">
        <v>77</v>
      </c>
      <c r="G497" s="37" t="s">
        <v>49</v>
      </c>
      <c r="H497" s="39" t="s">
        <v>1812</v>
      </c>
      <c r="I497" s="19"/>
      <c r="J497" s="19" t="str">
        <f t="array" ref="J497">IF($I497="","",IFERROR(INDEX(Legend!$C$41:$C$45,MATCH($I497,Legend!$B$41:$B$45,0)),""))</f>
        <v/>
      </c>
      <c r="K497" s="19"/>
    </row>
    <row r="498" ht="15.75" customHeight="1">
      <c r="A498" s="18">
        <v>494.0</v>
      </c>
      <c r="B498" s="19" t="s">
        <v>932</v>
      </c>
      <c r="C498" s="19" t="s">
        <v>1778</v>
      </c>
      <c r="D498" s="19" t="s">
        <v>1815</v>
      </c>
      <c r="E498" s="53" t="s">
        <v>42</v>
      </c>
      <c r="F498" s="31" t="s">
        <v>34</v>
      </c>
      <c r="G498" s="46" t="s">
        <v>50</v>
      </c>
      <c r="H498" s="39"/>
      <c r="I498" s="19"/>
      <c r="J498" s="19" t="str">
        <f t="array" ref="J498">IF($I498="","",IFERROR(INDEX(Legend!$C$41:$C$45,MATCH($I498,Legend!$B$41:$B$45,0)),""))</f>
        <v/>
      </c>
      <c r="K498" s="19"/>
    </row>
    <row r="499" ht="15.75" customHeight="1">
      <c r="A499" s="18">
        <v>495.0</v>
      </c>
      <c r="B499" s="19" t="s">
        <v>932</v>
      </c>
      <c r="C499" s="19" t="s">
        <v>1778</v>
      </c>
      <c r="D499" s="19" t="s">
        <v>1816</v>
      </c>
      <c r="E499" s="53" t="s">
        <v>42</v>
      </c>
      <c r="F499" s="31" t="s">
        <v>34</v>
      </c>
      <c r="G499" s="37" t="s">
        <v>49</v>
      </c>
      <c r="H499" s="39"/>
      <c r="I499" s="19"/>
      <c r="J499" s="19" t="str">
        <f t="array" ref="J499">IF($I499="","",IFERROR(INDEX(Legend!$C$41:$C$45,MATCH($I499,Legend!$B$41:$B$45,0)),""))</f>
        <v/>
      </c>
      <c r="K499" s="19"/>
    </row>
    <row r="500" ht="15.75" customHeight="1">
      <c r="A500" s="18">
        <v>496.0</v>
      </c>
      <c r="B500" s="19" t="s">
        <v>932</v>
      </c>
      <c r="C500" s="19" t="s">
        <v>1778</v>
      </c>
      <c r="D500" s="19" t="s">
        <v>1819</v>
      </c>
      <c r="E500" s="53" t="s">
        <v>42</v>
      </c>
      <c r="F500" s="31" t="s">
        <v>34</v>
      </c>
      <c r="G500" s="46" t="s">
        <v>50</v>
      </c>
      <c r="H500" s="39"/>
      <c r="I500" s="19"/>
      <c r="J500" s="19" t="str">
        <f t="array" ref="J500">IF($I500="","",IFERROR(INDEX(Legend!$C$41:$C$45,MATCH($I500,Legend!$B$41:$B$45,0)),""))</f>
        <v/>
      </c>
      <c r="K500" s="19"/>
    </row>
    <row r="501" ht="15.75" customHeight="1">
      <c r="A501" s="18">
        <v>497.0</v>
      </c>
      <c r="B501" s="19" t="s">
        <v>932</v>
      </c>
      <c r="C501" s="19" t="s">
        <v>1778</v>
      </c>
      <c r="D501" s="19" t="s">
        <v>1821</v>
      </c>
      <c r="E501" s="53" t="s">
        <v>42</v>
      </c>
      <c r="F501" s="31" t="s">
        <v>34</v>
      </c>
      <c r="G501" s="46" t="s">
        <v>50</v>
      </c>
      <c r="H501" s="39" t="s">
        <v>1822</v>
      </c>
      <c r="I501" s="19"/>
      <c r="J501" s="19" t="str">
        <f t="array" ref="J501">IF($I501="","",IFERROR(INDEX(Legend!$C$41:$C$45,MATCH($I501,Legend!$B$41:$B$45,0)),""))</f>
        <v/>
      </c>
      <c r="K501" s="19"/>
    </row>
    <row r="502" ht="15.75" customHeight="1">
      <c r="A502" s="18">
        <v>498.0</v>
      </c>
      <c r="B502" s="19" t="s">
        <v>932</v>
      </c>
      <c r="C502" s="19" t="s">
        <v>1778</v>
      </c>
      <c r="D502" s="19" t="s">
        <v>1824</v>
      </c>
      <c r="E502" s="53" t="s">
        <v>42</v>
      </c>
      <c r="F502" s="31" t="s">
        <v>34</v>
      </c>
      <c r="G502" s="46" t="s">
        <v>50</v>
      </c>
      <c r="H502" s="39" t="s">
        <v>1825</v>
      </c>
      <c r="I502" s="19"/>
      <c r="J502" s="19" t="str">
        <f t="array" ref="J502">IF($I502="","",IFERROR(INDEX(Legend!$C$41:$C$45,MATCH($I502,Legend!$B$41:$B$45,0)),""))</f>
        <v/>
      </c>
      <c r="K502" s="19"/>
    </row>
    <row r="503" ht="15.75" customHeight="1">
      <c r="A503" s="18">
        <v>499.0</v>
      </c>
      <c r="B503" s="19" t="s">
        <v>932</v>
      </c>
      <c r="C503" s="19" t="s">
        <v>1778</v>
      </c>
      <c r="D503" s="19" t="s">
        <v>1828</v>
      </c>
      <c r="E503" s="53" t="s">
        <v>42</v>
      </c>
      <c r="F503" s="31" t="s">
        <v>34</v>
      </c>
      <c r="G503" s="37" t="s">
        <v>49</v>
      </c>
      <c r="H503" s="39" t="s">
        <v>1829</v>
      </c>
      <c r="I503" s="19"/>
      <c r="J503" s="19" t="str">
        <f t="array" ref="J503">IF($I503="","",IFERROR(INDEX(Legend!$C$41:$C$45,MATCH($I503,Legend!$B$41:$B$45,0)),""))</f>
        <v/>
      </c>
      <c r="K503" s="19"/>
    </row>
    <row r="504" ht="15.75" customHeight="1">
      <c r="A504" s="18">
        <v>500.0</v>
      </c>
      <c r="B504" s="19" t="s">
        <v>932</v>
      </c>
      <c r="C504" s="19" t="s">
        <v>1830</v>
      </c>
      <c r="D504" s="19" t="s">
        <v>1831</v>
      </c>
      <c r="E504" s="20" t="s">
        <v>33</v>
      </c>
      <c r="F504" s="31" t="s">
        <v>34</v>
      </c>
      <c r="G504" s="37" t="s">
        <v>49</v>
      </c>
      <c r="H504" s="39"/>
      <c r="I504" s="19"/>
      <c r="J504" s="19" t="str">
        <f t="array" ref="J504">IF($I504="","",IFERROR(INDEX(Legend!$C$41:$C$45,MATCH($I504,Legend!$B$41:$B$45,0)),""))</f>
        <v/>
      </c>
      <c r="K504" s="19"/>
    </row>
    <row r="505" ht="15.75" customHeight="1">
      <c r="A505" s="18">
        <v>501.0</v>
      </c>
      <c r="B505" s="19" t="s">
        <v>932</v>
      </c>
      <c r="C505" s="19" t="s">
        <v>1830</v>
      </c>
      <c r="D505" s="19" t="s">
        <v>1834</v>
      </c>
      <c r="E505" s="20" t="s">
        <v>33</v>
      </c>
      <c r="F505" s="31" t="s">
        <v>34</v>
      </c>
      <c r="G505" s="37" t="s">
        <v>49</v>
      </c>
      <c r="H505" s="39"/>
      <c r="I505" s="19"/>
      <c r="J505" s="19" t="str">
        <f t="array" ref="J505">IF($I505="","",IFERROR(INDEX(Legend!$C$41:$C$45,MATCH($I505,Legend!$B$41:$B$45,0)),""))</f>
        <v/>
      </c>
      <c r="K505" s="19"/>
    </row>
    <row r="506" ht="15.75" customHeight="1">
      <c r="A506" s="18">
        <v>502.0</v>
      </c>
      <c r="B506" s="19" t="s">
        <v>932</v>
      </c>
      <c r="C506" s="19" t="s">
        <v>1830</v>
      </c>
      <c r="D506" s="19" t="s">
        <v>1835</v>
      </c>
      <c r="E506" s="53" t="s">
        <v>42</v>
      </c>
      <c r="F506" s="48" t="s">
        <v>77</v>
      </c>
      <c r="G506" s="37" t="s">
        <v>49</v>
      </c>
      <c r="H506" s="39" t="s">
        <v>1836</v>
      </c>
      <c r="I506" s="19"/>
      <c r="J506" s="19" t="str">
        <f t="array" ref="J506">IF($I506="","",IFERROR(INDEX(Legend!$C$41:$C$45,MATCH($I506,Legend!$B$41:$B$45,0)),""))</f>
        <v/>
      </c>
      <c r="K506" s="19"/>
    </row>
    <row r="507" ht="15.75" customHeight="1">
      <c r="A507" s="18">
        <v>503.0</v>
      </c>
      <c r="B507" s="19" t="s">
        <v>932</v>
      </c>
      <c r="C507" s="19" t="s">
        <v>1830</v>
      </c>
      <c r="D507" s="19" t="s">
        <v>1837</v>
      </c>
      <c r="E507" s="53" t="s">
        <v>42</v>
      </c>
      <c r="F507" s="31" t="s">
        <v>34</v>
      </c>
      <c r="G507" s="37" t="s">
        <v>49</v>
      </c>
      <c r="H507" s="39" t="s">
        <v>1838</v>
      </c>
      <c r="I507" s="19"/>
      <c r="J507" s="19" t="str">
        <f t="array" ref="J507">IF($I507="","",IFERROR(INDEX(Legend!$C$41:$C$45,MATCH($I507,Legend!$B$41:$B$45,0)),""))</f>
        <v/>
      </c>
      <c r="K507" s="19"/>
    </row>
    <row r="508" ht="15.75" customHeight="1">
      <c r="A508" s="18">
        <v>504.0</v>
      </c>
      <c r="B508" s="19" t="s">
        <v>932</v>
      </c>
      <c r="C508" s="19" t="s">
        <v>1830</v>
      </c>
      <c r="D508" s="19" t="s">
        <v>1839</v>
      </c>
      <c r="E508" s="53" t="s">
        <v>42</v>
      </c>
      <c r="F508" s="31" t="s">
        <v>34</v>
      </c>
      <c r="G508" s="46" t="s">
        <v>50</v>
      </c>
      <c r="H508" s="39" t="s">
        <v>1840</v>
      </c>
      <c r="I508" s="19"/>
      <c r="J508" s="19" t="str">
        <f t="array" ref="J508">IF($I508="","",IFERROR(INDEX(Legend!$C$41:$C$45,MATCH($I508,Legend!$B$41:$B$45,0)),""))</f>
        <v/>
      </c>
      <c r="K508" s="19"/>
    </row>
    <row r="509" ht="15.75" customHeight="1">
      <c r="A509" s="18">
        <v>505.0</v>
      </c>
      <c r="B509" s="19" t="s">
        <v>932</v>
      </c>
      <c r="C509" s="19" t="s">
        <v>1830</v>
      </c>
      <c r="D509" s="19" t="s">
        <v>1841</v>
      </c>
      <c r="E509" s="53" t="s">
        <v>42</v>
      </c>
      <c r="F509" s="31" t="s">
        <v>34</v>
      </c>
      <c r="G509" s="46" t="s">
        <v>50</v>
      </c>
      <c r="H509" s="39"/>
      <c r="I509" s="19"/>
      <c r="J509" s="19" t="str">
        <f t="array" ref="J509">IF($I509="","",IFERROR(INDEX(Legend!$C$41:$C$45,MATCH($I509,Legend!$B$41:$B$45,0)),""))</f>
        <v/>
      </c>
      <c r="K509" s="19"/>
    </row>
    <row r="510" ht="15.75" customHeight="1">
      <c r="A510" s="18">
        <v>506.0</v>
      </c>
      <c r="B510" s="19" t="s">
        <v>932</v>
      </c>
      <c r="C510" s="19" t="s">
        <v>1830</v>
      </c>
      <c r="D510" s="19" t="s">
        <v>1842</v>
      </c>
      <c r="E510" s="53" t="s">
        <v>42</v>
      </c>
      <c r="F510" s="31" t="s">
        <v>34</v>
      </c>
      <c r="G510" s="46" t="s">
        <v>50</v>
      </c>
      <c r="H510" s="39" t="s">
        <v>1843</v>
      </c>
      <c r="I510" s="19"/>
      <c r="J510" s="19" t="str">
        <f t="array" ref="J510">IF($I510="","",IFERROR(INDEX(Legend!$C$41:$C$45,MATCH($I510,Legend!$B$41:$B$45,0)),""))</f>
        <v/>
      </c>
      <c r="K510" s="19"/>
    </row>
    <row r="511" ht="15.75" customHeight="1">
      <c r="A511" s="18">
        <v>507.0</v>
      </c>
      <c r="B511" s="19" t="s">
        <v>932</v>
      </c>
      <c r="C511" s="19" t="s">
        <v>1830</v>
      </c>
      <c r="D511" s="19" t="s">
        <v>1844</v>
      </c>
      <c r="E511" s="53" t="s">
        <v>42</v>
      </c>
      <c r="F511" s="54" t="s">
        <v>46</v>
      </c>
      <c r="G511" s="61" t="s">
        <v>47</v>
      </c>
      <c r="H511" s="39" t="s">
        <v>1845</v>
      </c>
      <c r="I511" s="19"/>
      <c r="J511" s="19" t="str">
        <f t="array" ref="J511">IF($I511="","",IFERROR(INDEX(Legend!$C$41:$C$45,MATCH($I511,Legend!$B$41:$B$45,0)),""))</f>
        <v/>
      </c>
      <c r="K511" s="19"/>
    </row>
    <row r="512" ht="15.75" customHeight="1">
      <c r="A512" s="18">
        <v>508.0</v>
      </c>
      <c r="B512" s="19" t="s">
        <v>932</v>
      </c>
      <c r="C512" s="19" t="s">
        <v>1830</v>
      </c>
      <c r="D512" s="19" t="s">
        <v>1846</v>
      </c>
      <c r="E512" s="53" t="s">
        <v>42</v>
      </c>
      <c r="F512" s="31" t="s">
        <v>34</v>
      </c>
      <c r="G512" s="37" t="s">
        <v>49</v>
      </c>
      <c r="H512" s="39" t="s">
        <v>1847</v>
      </c>
      <c r="I512" s="19"/>
      <c r="J512" s="19" t="str">
        <f t="array" ref="J512">IF($I512="","",IFERROR(INDEX(Legend!$C$41:$C$45,MATCH($I512,Legend!$B$41:$B$45,0)),""))</f>
        <v/>
      </c>
      <c r="K512" s="19"/>
    </row>
    <row r="513" ht="15.75" customHeight="1">
      <c r="A513" s="18">
        <v>509.0</v>
      </c>
      <c r="B513" s="19" t="s">
        <v>932</v>
      </c>
      <c r="C513" s="19" t="s">
        <v>1848</v>
      </c>
      <c r="D513" s="19" t="s">
        <v>1849</v>
      </c>
      <c r="E513" s="53" t="s">
        <v>42</v>
      </c>
      <c r="F513" s="48" t="s">
        <v>77</v>
      </c>
      <c r="G513" s="37" t="s">
        <v>49</v>
      </c>
      <c r="H513" s="39" t="s">
        <v>1850</v>
      </c>
      <c r="I513" s="19"/>
      <c r="J513" s="19" t="str">
        <f t="array" ref="J513">IF($I513="","",IFERROR(INDEX(Legend!$C$41:$C$45,MATCH($I513,Legend!$B$41:$B$45,0)),""))</f>
        <v/>
      </c>
      <c r="K513" s="19"/>
    </row>
    <row r="514" ht="15.75" customHeight="1">
      <c r="A514" s="18">
        <v>510.0</v>
      </c>
      <c r="B514" s="19" t="s">
        <v>932</v>
      </c>
      <c r="C514" s="19" t="s">
        <v>1848</v>
      </c>
      <c r="D514" s="19" t="s">
        <v>1851</v>
      </c>
      <c r="E514" s="53" t="s">
        <v>42</v>
      </c>
      <c r="F514" s="31" t="s">
        <v>34</v>
      </c>
      <c r="G514" s="37" t="s">
        <v>49</v>
      </c>
      <c r="H514" s="39" t="s">
        <v>1852</v>
      </c>
      <c r="I514" s="19"/>
      <c r="J514" s="19" t="str">
        <f t="array" ref="J514">IF($I514="","",IFERROR(INDEX(Legend!$C$41:$C$45,MATCH($I514,Legend!$B$41:$B$45,0)),""))</f>
        <v/>
      </c>
      <c r="K514" s="19"/>
    </row>
    <row r="515" ht="15.75" customHeight="1">
      <c r="A515" s="18">
        <v>511.0</v>
      </c>
      <c r="B515" s="19" t="s">
        <v>932</v>
      </c>
      <c r="C515" s="19" t="s">
        <v>1848</v>
      </c>
      <c r="D515" s="19" t="s">
        <v>1853</v>
      </c>
      <c r="E515" s="53" t="s">
        <v>42</v>
      </c>
      <c r="F515" s="48" t="s">
        <v>77</v>
      </c>
      <c r="G515" s="37" t="s">
        <v>49</v>
      </c>
      <c r="H515" s="39" t="s">
        <v>1854</v>
      </c>
      <c r="I515" s="19"/>
      <c r="J515" s="19" t="str">
        <f t="array" ref="J515">IF($I515="","",IFERROR(INDEX(Legend!$C$41:$C$45,MATCH($I515,Legend!$B$41:$B$45,0)),""))</f>
        <v/>
      </c>
      <c r="K515" s="19"/>
    </row>
    <row r="516" ht="15.75" customHeight="1">
      <c r="A516" s="18">
        <v>512.0</v>
      </c>
      <c r="B516" s="19" t="s">
        <v>932</v>
      </c>
      <c r="C516" s="19" t="s">
        <v>1848</v>
      </c>
      <c r="D516" s="19" t="s">
        <v>1855</v>
      </c>
      <c r="E516" s="53" t="s">
        <v>42</v>
      </c>
      <c r="F516" s="31" t="s">
        <v>34</v>
      </c>
      <c r="G516" s="46" t="s">
        <v>50</v>
      </c>
      <c r="H516" s="39"/>
      <c r="I516" s="19"/>
      <c r="J516" s="19" t="str">
        <f t="array" ref="J516">IF($I516="","",IFERROR(INDEX(Legend!$C$41:$C$45,MATCH($I516,Legend!$B$41:$B$45,0)),""))</f>
        <v/>
      </c>
      <c r="K516" s="19"/>
    </row>
    <row r="517" ht="15.75" customHeight="1">
      <c r="A517" s="18">
        <v>513.0</v>
      </c>
      <c r="B517" s="19" t="s">
        <v>932</v>
      </c>
      <c r="C517" s="19" t="s">
        <v>1848</v>
      </c>
      <c r="D517" s="19" t="s">
        <v>1856</v>
      </c>
      <c r="E517" s="53" t="s">
        <v>42</v>
      </c>
      <c r="F517" s="31" t="s">
        <v>34</v>
      </c>
      <c r="G517" s="37" t="s">
        <v>49</v>
      </c>
      <c r="H517" s="39"/>
      <c r="I517" s="19"/>
      <c r="J517" s="19" t="str">
        <f t="array" ref="J517">IF($I517="","",IFERROR(INDEX(Legend!$C$41:$C$45,MATCH($I517,Legend!$B$41:$B$45,0)),""))</f>
        <v/>
      </c>
      <c r="K517" s="19"/>
    </row>
    <row r="518" ht="15.75" customHeight="1">
      <c r="A518" s="18">
        <v>514.0</v>
      </c>
      <c r="B518" s="19" t="s">
        <v>932</v>
      </c>
      <c r="C518" s="19" t="s">
        <v>1848</v>
      </c>
      <c r="D518" s="19" t="s">
        <v>1857</v>
      </c>
      <c r="E518" s="53" t="s">
        <v>42</v>
      </c>
      <c r="F518" s="31" t="s">
        <v>34</v>
      </c>
      <c r="G518" s="37" t="s">
        <v>49</v>
      </c>
      <c r="H518" s="39" t="s">
        <v>1858</v>
      </c>
      <c r="I518" s="19"/>
      <c r="J518" s="19" t="str">
        <f t="array" ref="J518">IF($I518="","",IFERROR(INDEX(Legend!$C$41:$C$45,MATCH($I518,Legend!$B$41:$B$45,0)),""))</f>
        <v/>
      </c>
      <c r="K518" s="19"/>
    </row>
    <row r="519" ht="15.75" customHeight="1">
      <c r="A519" s="18">
        <v>515.0</v>
      </c>
      <c r="B519" s="19" t="s">
        <v>932</v>
      </c>
      <c r="C519" s="19" t="s">
        <v>1848</v>
      </c>
      <c r="D519" s="19" t="s">
        <v>1859</v>
      </c>
      <c r="E519" s="53" t="s">
        <v>42</v>
      </c>
      <c r="F519" s="31" t="s">
        <v>34</v>
      </c>
      <c r="G519" s="46" t="s">
        <v>50</v>
      </c>
      <c r="H519" s="39"/>
      <c r="I519" s="19"/>
      <c r="J519" s="19" t="str">
        <f t="array" ref="J519">IF($I519="","",IFERROR(INDEX(Legend!$C$41:$C$45,MATCH($I519,Legend!$B$41:$B$45,0)),""))</f>
        <v/>
      </c>
      <c r="K519" s="19"/>
    </row>
    <row r="520" ht="15.75" customHeight="1">
      <c r="A520" s="18">
        <v>516.0</v>
      </c>
      <c r="B520" s="19" t="s">
        <v>932</v>
      </c>
      <c r="C520" s="19" t="s">
        <v>1848</v>
      </c>
      <c r="D520" s="19" t="s">
        <v>1860</v>
      </c>
      <c r="E520" s="53" t="s">
        <v>42</v>
      </c>
      <c r="F520" s="54" t="s">
        <v>46</v>
      </c>
      <c r="G520" s="61" t="s">
        <v>47</v>
      </c>
      <c r="H520" s="39"/>
      <c r="I520" s="19"/>
      <c r="J520" s="19" t="str">
        <f t="array" ref="J520">IF($I520="","",IFERROR(INDEX(Legend!$C$41:$C$45,MATCH($I520,Legend!$B$41:$B$45,0)),""))</f>
        <v/>
      </c>
      <c r="K520" s="19"/>
    </row>
    <row r="521" ht="15.75" customHeight="1">
      <c r="A521" s="18">
        <v>517.0</v>
      </c>
      <c r="B521" s="19" t="s">
        <v>932</v>
      </c>
      <c r="C521" s="19" t="s">
        <v>1848</v>
      </c>
      <c r="D521" s="19" t="s">
        <v>1861</v>
      </c>
      <c r="E521" s="53" t="s">
        <v>42</v>
      </c>
      <c r="F521" s="31" t="s">
        <v>34</v>
      </c>
      <c r="G521" s="46" t="s">
        <v>50</v>
      </c>
      <c r="H521" s="39" t="s">
        <v>1862</v>
      </c>
      <c r="I521" s="19"/>
      <c r="J521" s="19" t="str">
        <f t="array" ref="J521">IF($I521="","",IFERROR(INDEX(Legend!$C$41:$C$45,MATCH($I521,Legend!$B$41:$B$45,0)),""))</f>
        <v/>
      </c>
      <c r="K521" s="19"/>
    </row>
    <row r="522" ht="15.75" customHeight="1">
      <c r="A522" s="18">
        <v>518.0</v>
      </c>
      <c r="B522" s="19" t="s">
        <v>932</v>
      </c>
      <c r="C522" s="19" t="s">
        <v>1848</v>
      </c>
      <c r="D522" s="19" t="s">
        <v>1863</v>
      </c>
      <c r="E522" s="53" t="s">
        <v>42</v>
      </c>
      <c r="F522" s="31" t="s">
        <v>34</v>
      </c>
      <c r="G522" s="46" t="s">
        <v>50</v>
      </c>
      <c r="H522" s="39" t="s">
        <v>1864</v>
      </c>
      <c r="I522" s="19"/>
      <c r="J522" s="19" t="str">
        <f t="array" ref="J522">IF($I522="","",IFERROR(INDEX(Legend!$C$41:$C$45,MATCH($I522,Legend!$B$41:$B$45,0)),""))</f>
        <v/>
      </c>
      <c r="K522" s="19"/>
    </row>
    <row r="523" ht="15.75" customHeight="1">
      <c r="A523" s="18">
        <v>519.0</v>
      </c>
      <c r="B523" s="19" t="s">
        <v>932</v>
      </c>
      <c r="C523" s="19" t="s">
        <v>1848</v>
      </c>
      <c r="D523" s="19" t="s">
        <v>1865</v>
      </c>
      <c r="E523" s="53" t="s">
        <v>42</v>
      </c>
      <c r="F523" s="31" t="s">
        <v>34</v>
      </c>
      <c r="G523" s="46" t="s">
        <v>50</v>
      </c>
      <c r="H523" s="39"/>
      <c r="I523" s="19"/>
      <c r="J523" s="19" t="str">
        <f t="array" ref="J523">IF($I523="","",IFERROR(INDEX(Legend!$C$41:$C$45,MATCH($I523,Legend!$B$41:$B$45,0)),""))</f>
        <v/>
      </c>
      <c r="K523" s="19"/>
    </row>
    <row r="524" ht="15.75" customHeight="1">
      <c r="A524" s="18">
        <v>520.0</v>
      </c>
      <c r="B524" s="19" t="s">
        <v>932</v>
      </c>
      <c r="C524" s="19" t="s">
        <v>1848</v>
      </c>
      <c r="D524" s="19" t="s">
        <v>1866</v>
      </c>
      <c r="E524" s="53" t="s">
        <v>42</v>
      </c>
      <c r="F524" s="31" t="s">
        <v>34</v>
      </c>
      <c r="G524" s="46" t="s">
        <v>50</v>
      </c>
      <c r="H524" s="39" t="s">
        <v>1867</v>
      </c>
      <c r="I524" s="19"/>
      <c r="J524" s="19" t="str">
        <f t="array" ref="J524">IF($I524="","",IFERROR(INDEX(Legend!$C$41:$C$45,MATCH($I524,Legend!$B$41:$B$45,0)),""))</f>
        <v/>
      </c>
      <c r="K524" s="19"/>
    </row>
    <row r="525" ht="15.75" customHeight="1">
      <c r="A525" s="18">
        <v>521.0</v>
      </c>
      <c r="B525" s="19" t="s">
        <v>932</v>
      </c>
      <c r="C525" s="19" t="s">
        <v>1848</v>
      </c>
      <c r="D525" s="19" t="s">
        <v>1868</v>
      </c>
      <c r="E525" s="53" t="s">
        <v>42</v>
      </c>
      <c r="F525" s="31" t="s">
        <v>34</v>
      </c>
      <c r="G525" s="46" t="s">
        <v>50</v>
      </c>
      <c r="H525" s="39" t="s">
        <v>1869</v>
      </c>
      <c r="I525" s="19"/>
      <c r="J525" s="19" t="str">
        <f t="array" ref="J525">IF($I525="","",IFERROR(INDEX(Legend!$C$41:$C$45,MATCH($I525,Legend!$B$41:$B$45,0)),""))</f>
        <v/>
      </c>
      <c r="K525" s="19"/>
    </row>
    <row r="526" ht="15.75" customHeight="1">
      <c r="A526" s="18">
        <v>522.0</v>
      </c>
      <c r="B526" s="19" t="s">
        <v>932</v>
      </c>
      <c r="C526" s="19" t="s">
        <v>1848</v>
      </c>
      <c r="D526" s="19" t="s">
        <v>1870</v>
      </c>
      <c r="E526" s="53" t="s">
        <v>42</v>
      </c>
      <c r="F526" s="48" t="s">
        <v>77</v>
      </c>
      <c r="G526" s="46" t="s">
        <v>50</v>
      </c>
      <c r="H526" s="39" t="s">
        <v>1871</v>
      </c>
      <c r="I526" s="19"/>
      <c r="J526" s="19" t="str">
        <f t="array" ref="J526">IF($I526="","",IFERROR(INDEX(Legend!$C$41:$C$45,MATCH($I526,Legend!$B$41:$B$45,0)),""))</f>
        <v/>
      </c>
      <c r="K526" s="19"/>
    </row>
    <row r="527" ht="15.75" customHeight="1">
      <c r="A527" s="18">
        <v>523.0</v>
      </c>
      <c r="B527" s="19" t="s">
        <v>932</v>
      </c>
      <c r="C527" s="19" t="s">
        <v>1872</v>
      </c>
      <c r="D527" s="19" t="s">
        <v>1873</v>
      </c>
      <c r="E527" s="53" t="s">
        <v>42</v>
      </c>
      <c r="F527" s="31" t="s">
        <v>34</v>
      </c>
      <c r="G527" s="37" t="s">
        <v>49</v>
      </c>
      <c r="H527" s="39"/>
      <c r="I527" s="19"/>
      <c r="J527" s="19" t="str">
        <f t="array" ref="J527">IF($I527="","",IFERROR(INDEX(Legend!$C$41:$C$45,MATCH($I527,Legend!$B$41:$B$45,0)),""))</f>
        <v/>
      </c>
      <c r="K527" s="19"/>
    </row>
    <row r="528" ht="15.75" customHeight="1">
      <c r="A528" s="18">
        <v>524.0</v>
      </c>
      <c r="B528" s="19" t="s">
        <v>932</v>
      </c>
      <c r="C528" s="19" t="s">
        <v>1872</v>
      </c>
      <c r="D528" s="19" t="s">
        <v>1874</v>
      </c>
      <c r="E528" s="53" t="s">
        <v>42</v>
      </c>
      <c r="F528" s="31" t="s">
        <v>34</v>
      </c>
      <c r="G528" s="37" t="s">
        <v>49</v>
      </c>
      <c r="H528" s="39"/>
      <c r="I528" s="19"/>
      <c r="J528" s="19" t="str">
        <f t="array" ref="J528">IF($I528="","",IFERROR(INDEX(Legend!$C$41:$C$45,MATCH($I528,Legend!$B$41:$B$45,0)),""))</f>
        <v/>
      </c>
      <c r="K528" s="19"/>
    </row>
    <row r="529" ht="15.75" customHeight="1">
      <c r="A529" s="18">
        <v>525.0</v>
      </c>
      <c r="B529" s="19" t="s">
        <v>932</v>
      </c>
      <c r="C529" s="19" t="s">
        <v>1872</v>
      </c>
      <c r="D529" s="19" t="s">
        <v>1875</v>
      </c>
      <c r="E529" s="53" t="s">
        <v>42</v>
      </c>
      <c r="F529" s="31" t="s">
        <v>34</v>
      </c>
      <c r="G529" s="46" t="s">
        <v>50</v>
      </c>
      <c r="H529" s="39"/>
      <c r="I529" s="19"/>
      <c r="J529" s="19" t="str">
        <f t="array" ref="J529">IF($I529="","",IFERROR(INDEX(Legend!$C$41:$C$45,MATCH($I529,Legend!$B$41:$B$45,0)),""))</f>
        <v/>
      </c>
      <c r="K529" s="19"/>
    </row>
    <row r="530" ht="15.75" customHeight="1">
      <c r="A530" s="18">
        <v>526.0</v>
      </c>
      <c r="B530" s="19" t="s">
        <v>932</v>
      </c>
      <c r="C530" s="19" t="s">
        <v>1872</v>
      </c>
      <c r="D530" s="19" t="s">
        <v>1876</v>
      </c>
      <c r="E530" s="53" t="s">
        <v>42</v>
      </c>
      <c r="F530" s="48" t="s">
        <v>77</v>
      </c>
      <c r="G530" s="37" t="s">
        <v>49</v>
      </c>
      <c r="H530" s="39" t="s">
        <v>1877</v>
      </c>
      <c r="I530" s="19"/>
      <c r="J530" s="19" t="str">
        <f t="array" ref="J530">IF($I530="","",IFERROR(INDEX(Legend!$C$41:$C$45,MATCH($I530,Legend!$B$41:$B$45,0)),""))</f>
        <v/>
      </c>
      <c r="K530" s="19"/>
    </row>
    <row r="531" ht="15.75" customHeight="1">
      <c r="A531" s="18">
        <v>527.0</v>
      </c>
      <c r="B531" s="19" t="s">
        <v>932</v>
      </c>
      <c r="C531" s="19" t="s">
        <v>1872</v>
      </c>
      <c r="D531" s="19" t="s">
        <v>1878</v>
      </c>
      <c r="E531" s="53" t="s">
        <v>42</v>
      </c>
      <c r="F531" s="31" t="s">
        <v>34</v>
      </c>
      <c r="G531" s="46" t="s">
        <v>50</v>
      </c>
      <c r="H531" s="39"/>
      <c r="I531" s="19"/>
      <c r="J531" s="19" t="str">
        <f t="array" ref="J531">IF($I531="","",IFERROR(INDEX(Legend!$C$41:$C$45,MATCH($I531,Legend!$B$41:$B$45,0)),""))</f>
        <v/>
      </c>
      <c r="K531" s="19"/>
    </row>
    <row r="532" ht="15.75" customHeight="1">
      <c r="A532" s="18">
        <v>528.0</v>
      </c>
      <c r="B532" s="19" t="s">
        <v>932</v>
      </c>
      <c r="C532" s="19" t="s">
        <v>1872</v>
      </c>
      <c r="D532" s="19" t="s">
        <v>1879</v>
      </c>
      <c r="E532" s="53" t="s">
        <v>42</v>
      </c>
      <c r="F532" s="31" t="s">
        <v>34</v>
      </c>
      <c r="G532" s="37" t="s">
        <v>49</v>
      </c>
      <c r="H532" s="39"/>
      <c r="I532" s="19"/>
      <c r="J532" s="19" t="str">
        <f t="array" ref="J532">IF($I532="","",IFERROR(INDEX(Legend!$C$41:$C$45,MATCH($I532,Legend!$B$41:$B$45,0)),""))</f>
        <v/>
      </c>
      <c r="K532" s="19"/>
    </row>
    <row r="533" ht="15.75" customHeight="1">
      <c r="A533" s="18">
        <v>529.0</v>
      </c>
      <c r="B533" s="19" t="s">
        <v>932</v>
      </c>
      <c r="C533" s="19" t="s">
        <v>1872</v>
      </c>
      <c r="D533" s="19" t="s">
        <v>1880</v>
      </c>
      <c r="E533" s="53" t="s">
        <v>42</v>
      </c>
      <c r="F533" s="31" t="s">
        <v>34</v>
      </c>
      <c r="G533" s="37" t="s">
        <v>49</v>
      </c>
      <c r="H533" s="39"/>
      <c r="I533" s="19"/>
      <c r="J533" s="19" t="str">
        <f t="array" ref="J533">IF($I533="","",IFERROR(INDEX(Legend!$C$41:$C$45,MATCH($I533,Legend!$B$41:$B$45,0)),""))</f>
        <v/>
      </c>
      <c r="K533" s="19"/>
    </row>
    <row r="534" ht="15.75" customHeight="1">
      <c r="A534" s="18">
        <v>530.0</v>
      </c>
      <c r="B534" s="19" t="s">
        <v>932</v>
      </c>
      <c r="C534" s="19" t="s">
        <v>1872</v>
      </c>
      <c r="D534" s="19" t="s">
        <v>1881</v>
      </c>
      <c r="E534" s="53" t="s">
        <v>42</v>
      </c>
      <c r="F534" s="31" t="s">
        <v>34</v>
      </c>
      <c r="G534" s="46" t="s">
        <v>50</v>
      </c>
      <c r="H534" s="39"/>
      <c r="I534" s="19"/>
      <c r="J534" s="19" t="str">
        <f t="array" ref="J534">IF($I534="","",IFERROR(INDEX(Legend!$C$41:$C$45,MATCH($I534,Legend!$B$41:$B$45,0)),""))</f>
        <v/>
      </c>
      <c r="K534" s="19"/>
    </row>
    <row r="535" ht="15.75" customHeight="1">
      <c r="A535" s="18">
        <v>531.0</v>
      </c>
      <c r="B535" s="19" t="s">
        <v>932</v>
      </c>
      <c r="C535" s="19" t="s">
        <v>1872</v>
      </c>
      <c r="D535" s="19" t="s">
        <v>1882</v>
      </c>
      <c r="E535" s="53" t="s">
        <v>42</v>
      </c>
      <c r="F535" s="31" t="s">
        <v>34</v>
      </c>
      <c r="G535" s="37" t="s">
        <v>49</v>
      </c>
      <c r="H535" s="39"/>
      <c r="I535" s="19"/>
      <c r="J535" s="19" t="str">
        <f t="array" ref="J535">IF($I535="","",IFERROR(INDEX(Legend!$C$41:$C$45,MATCH($I535,Legend!$B$41:$B$45,0)),""))</f>
        <v/>
      </c>
      <c r="K535" s="19"/>
    </row>
    <row r="536" ht="15.75" customHeight="1">
      <c r="A536" s="18">
        <v>532.0</v>
      </c>
      <c r="B536" s="19" t="s">
        <v>932</v>
      </c>
      <c r="C536" s="19" t="s">
        <v>1872</v>
      </c>
      <c r="D536" s="19" t="s">
        <v>1883</v>
      </c>
      <c r="E536" s="53" t="s">
        <v>42</v>
      </c>
      <c r="F536" s="31" t="s">
        <v>34</v>
      </c>
      <c r="G536" s="46" t="s">
        <v>50</v>
      </c>
      <c r="H536" s="39"/>
      <c r="I536" s="19"/>
      <c r="J536" s="19" t="str">
        <f t="array" ref="J536">IF($I536="","",IFERROR(INDEX(Legend!$C$41:$C$45,MATCH($I536,Legend!$B$41:$B$45,0)),""))</f>
        <v/>
      </c>
      <c r="K536" s="19"/>
    </row>
    <row r="537" ht="15.75" customHeight="1">
      <c r="A537" s="18">
        <v>533.0</v>
      </c>
      <c r="B537" s="19" t="s">
        <v>932</v>
      </c>
      <c r="C537" s="19" t="s">
        <v>1872</v>
      </c>
      <c r="D537" s="19" t="s">
        <v>1884</v>
      </c>
      <c r="E537" s="53" t="s">
        <v>42</v>
      </c>
      <c r="F537" s="31" t="s">
        <v>34</v>
      </c>
      <c r="G537" s="37" t="s">
        <v>49</v>
      </c>
      <c r="H537" s="39"/>
      <c r="I537" s="19"/>
      <c r="J537" s="19" t="str">
        <f t="array" ref="J537">IF($I537="","",IFERROR(INDEX(Legend!$C$41:$C$45,MATCH($I537,Legend!$B$41:$B$45,0)),""))</f>
        <v/>
      </c>
      <c r="K537" s="19"/>
    </row>
    <row r="538" ht="15.75" customHeight="1">
      <c r="A538" s="18">
        <v>534.0</v>
      </c>
      <c r="B538" s="19" t="s">
        <v>932</v>
      </c>
      <c r="C538" s="19" t="s">
        <v>1872</v>
      </c>
      <c r="D538" s="19" t="s">
        <v>1885</v>
      </c>
      <c r="E538" s="53" t="s">
        <v>42</v>
      </c>
      <c r="F538" s="31" t="s">
        <v>34</v>
      </c>
      <c r="G538" s="46" t="s">
        <v>50</v>
      </c>
      <c r="H538" s="39"/>
      <c r="I538" s="19"/>
      <c r="J538" s="19" t="str">
        <f t="array" ref="J538">IF($I538="","",IFERROR(INDEX(Legend!$C$41:$C$45,MATCH($I538,Legend!$B$41:$B$45,0)),""))</f>
        <v/>
      </c>
      <c r="K538" s="19"/>
    </row>
    <row r="539" ht="15.75" customHeight="1">
      <c r="A539" s="18">
        <v>535.0</v>
      </c>
      <c r="B539" s="19" t="s">
        <v>932</v>
      </c>
      <c r="C539" s="19" t="s">
        <v>1872</v>
      </c>
      <c r="D539" s="19" t="s">
        <v>1886</v>
      </c>
      <c r="E539" s="53" t="s">
        <v>42</v>
      </c>
      <c r="F539" s="31" t="s">
        <v>34</v>
      </c>
      <c r="G539" s="46" t="s">
        <v>50</v>
      </c>
      <c r="H539" s="39"/>
      <c r="I539" s="19"/>
      <c r="J539" s="19" t="str">
        <f t="array" ref="J539">IF($I539="","",IFERROR(INDEX(Legend!$C$41:$C$45,MATCH($I539,Legend!$B$41:$B$45,0)),""))</f>
        <v/>
      </c>
      <c r="K539" s="19"/>
    </row>
    <row r="540" ht="15.75" customHeight="1">
      <c r="A540" s="18">
        <v>536.0</v>
      </c>
      <c r="B540" s="19" t="s">
        <v>937</v>
      </c>
      <c r="C540" s="19" t="s">
        <v>1887</v>
      </c>
      <c r="D540" s="19" t="s">
        <v>1888</v>
      </c>
      <c r="E540" s="20" t="s">
        <v>33</v>
      </c>
      <c r="F540" s="31" t="s">
        <v>34</v>
      </c>
      <c r="G540" s="37" t="s">
        <v>49</v>
      </c>
      <c r="H540" s="39"/>
      <c r="I540" s="19"/>
      <c r="J540" s="19" t="str">
        <f t="array" ref="J540">IF($I540="","",IFERROR(INDEX(Legend!$C$41:$C$45,MATCH($I540,Legend!$B$41:$B$45,0)),""))</f>
        <v/>
      </c>
      <c r="K540" s="19"/>
    </row>
    <row r="541" ht="15.75" customHeight="1">
      <c r="A541" s="18">
        <v>537.0</v>
      </c>
      <c r="B541" s="19" t="s">
        <v>937</v>
      </c>
      <c r="C541" s="19" t="s">
        <v>1887</v>
      </c>
      <c r="D541" s="19" t="s">
        <v>1889</v>
      </c>
      <c r="E541" s="53" t="s">
        <v>42</v>
      </c>
      <c r="F541" s="31" t="s">
        <v>34</v>
      </c>
      <c r="G541" s="37" t="s">
        <v>49</v>
      </c>
      <c r="H541" s="39"/>
      <c r="I541" s="19"/>
      <c r="J541" s="19" t="str">
        <f t="array" ref="J541">IF($I541="","",IFERROR(INDEX(Legend!$C$41:$C$45,MATCH($I541,Legend!$B$41:$B$45,0)),""))</f>
        <v/>
      </c>
      <c r="K541" s="19"/>
    </row>
    <row r="542" ht="15.75" customHeight="1">
      <c r="A542" s="18">
        <v>538.0</v>
      </c>
      <c r="B542" s="19" t="s">
        <v>937</v>
      </c>
      <c r="C542" s="19" t="s">
        <v>1887</v>
      </c>
      <c r="D542" s="19" t="s">
        <v>1890</v>
      </c>
      <c r="E542" s="53" t="s">
        <v>42</v>
      </c>
      <c r="F542" s="31" t="s">
        <v>34</v>
      </c>
      <c r="G542" s="37" t="s">
        <v>49</v>
      </c>
      <c r="H542" s="39" t="s">
        <v>1891</v>
      </c>
      <c r="I542" s="19"/>
      <c r="J542" s="19" t="str">
        <f t="array" ref="J542">IF($I542="","",IFERROR(INDEX(Legend!$C$41:$C$45,MATCH($I542,Legend!$B$41:$B$45,0)),""))</f>
        <v/>
      </c>
      <c r="K542" s="19"/>
    </row>
    <row r="543" ht="15.75" customHeight="1">
      <c r="A543" s="18">
        <v>539.0</v>
      </c>
      <c r="B543" s="19" t="s">
        <v>937</v>
      </c>
      <c r="C543" s="19" t="s">
        <v>1887</v>
      </c>
      <c r="D543" s="19" t="s">
        <v>1892</v>
      </c>
      <c r="E543" s="53" t="s">
        <v>42</v>
      </c>
      <c r="F543" s="31" t="s">
        <v>34</v>
      </c>
      <c r="G543" s="37" t="s">
        <v>49</v>
      </c>
      <c r="H543" s="39"/>
      <c r="I543" s="19"/>
      <c r="J543" s="19" t="str">
        <f t="array" ref="J543">IF($I543="","",IFERROR(INDEX(Legend!$C$41:$C$45,MATCH($I543,Legend!$B$41:$B$45,0)),""))</f>
        <v/>
      </c>
      <c r="K543" s="19"/>
    </row>
    <row r="544" ht="15.75" customHeight="1">
      <c r="A544" s="18">
        <v>540.0</v>
      </c>
      <c r="B544" s="19" t="s">
        <v>937</v>
      </c>
      <c r="C544" s="19" t="s">
        <v>1887</v>
      </c>
      <c r="D544" s="19" t="s">
        <v>1893</v>
      </c>
      <c r="E544" s="53" t="s">
        <v>42</v>
      </c>
      <c r="F544" s="31" t="s">
        <v>34</v>
      </c>
      <c r="G544" s="37" t="s">
        <v>49</v>
      </c>
      <c r="H544" s="39" t="s">
        <v>1894</v>
      </c>
      <c r="I544" s="19"/>
      <c r="J544" s="19" t="str">
        <f t="array" ref="J544">IF($I544="","",IFERROR(INDEX(Legend!$C$41:$C$45,MATCH($I544,Legend!$B$41:$B$45,0)),""))</f>
        <v/>
      </c>
      <c r="K544" s="19"/>
    </row>
    <row r="545" ht="15.75" customHeight="1">
      <c r="A545" s="18">
        <v>541.0</v>
      </c>
      <c r="B545" s="19" t="s">
        <v>937</v>
      </c>
      <c r="C545" s="19" t="s">
        <v>1887</v>
      </c>
      <c r="D545" s="19" t="s">
        <v>1895</v>
      </c>
      <c r="E545" s="53" t="s">
        <v>42</v>
      </c>
      <c r="F545" s="31" t="s">
        <v>34</v>
      </c>
      <c r="G545" s="37" t="s">
        <v>49</v>
      </c>
      <c r="H545" s="39"/>
      <c r="I545" s="19"/>
      <c r="J545" s="19" t="str">
        <f t="array" ref="J545">IF($I545="","",IFERROR(INDEX(Legend!$C$41:$C$45,MATCH($I545,Legend!$B$41:$B$45,0)),""))</f>
        <v/>
      </c>
      <c r="K545" s="19"/>
    </row>
    <row r="546" ht="15.75" customHeight="1">
      <c r="A546" s="18">
        <v>542.0</v>
      </c>
      <c r="B546" s="19" t="s">
        <v>937</v>
      </c>
      <c r="C546" s="19" t="s">
        <v>1887</v>
      </c>
      <c r="D546" s="19" t="s">
        <v>1896</v>
      </c>
      <c r="E546" s="53" t="s">
        <v>42</v>
      </c>
      <c r="F546" s="31" t="s">
        <v>34</v>
      </c>
      <c r="G546" s="37" t="s">
        <v>49</v>
      </c>
      <c r="H546" s="39"/>
      <c r="I546" s="19"/>
      <c r="J546" s="19" t="str">
        <f t="array" ref="J546">IF($I546="","",IFERROR(INDEX(Legend!$C$41:$C$45,MATCH($I546,Legend!$B$41:$B$45,0)),""))</f>
        <v/>
      </c>
      <c r="K546" s="19"/>
    </row>
    <row r="547" ht="15.75" customHeight="1">
      <c r="A547" s="18">
        <v>543.0</v>
      </c>
      <c r="B547" s="19" t="s">
        <v>937</v>
      </c>
      <c r="C547" s="19" t="s">
        <v>1887</v>
      </c>
      <c r="D547" s="19" t="s">
        <v>1897</v>
      </c>
      <c r="E547" s="53" t="s">
        <v>42</v>
      </c>
      <c r="F547" s="48" t="s">
        <v>77</v>
      </c>
      <c r="G547" s="37" t="s">
        <v>49</v>
      </c>
      <c r="H547" s="39" t="s">
        <v>1898</v>
      </c>
      <c r="I547" s="19"/>
      <c r="J547" s="19" t="str">
        <f t="array" ref="J547">IF($I547="","",IFERROR(INDEX(Legend!$C$41:$C$45,MATCH($I547,Legend!$B$41:$B$45,0)),""))</f>
        <v/>
      </c>
      <c r="K547" s="19"/>
    </row>
    <row r="548" ht="15.75" customHeight="1">
      <c r="A548" s="18">
        <v>544.0</v>
      </c>
      <c r="B548" s="19" t="s">
        <v>937</v>
      </c>
      <c r="C548" s="19" t="s">
        <v>1887</v>
      </c>
      <c r="D548" s="19" t="s">
        <v>1899</v>
      </c>
      <c r="E548" s="53" t="s">
        <v>42</v>
      </c>
      <c r="F548" s="48" t="s">
        <v>77</v>
      </c>
      <c r="G548" s="46" t="s">
        <v>50</v>
      </c>
      <c r="H548" s="39"/>
      <c r="I548" s="19"/>
      <c r="J548" s="19" t="str">
        <f t="array" ref="J548">IF($I548="","",IFERROR(INDEX(Legend!$C$41:$C$45,MATCH($I548,Legend!$B$41:$B$45,0)),""))</f>
        <v/>
      </c>
      <c r="K548" s="19"/>
    </row>
    <row r="549" ht="15.75" customHeight="1">
      <c r="A549" s="18">
        <v>545.0</v>
      </c>
      <c r="B549" s="19" t="s">
        <v>937</v>
      </c>
      <c r="C549" s="19" t="s">
        <v>1887</v>
      </c>
      <c r="D549" s="19" t="s">
        <v>1900</v>
      </c>
      <c r="E549" s="53" t="s">
        <v>42</v>
      </c>
      <c r="F549" s="31" t="s">
        <v>34</v>
      </c>
      <c r="G549" s="37" t="s">
        <v>49</v>
      </c>
      <c r="H549" s="39"/>
      <c r="I549" s="19"/>
      <c r="J549" s="19" t="str">
        <f t="array" ref="J549">IF($I549="","",IFERROR(INDEX(Legend!$C$41:$C$45,MATCH($I549,Legend!$B$41:$B$45,0)),""))</f>
        <v/>
      </c>
      <c r="K549" s="19"/>
    </row>
    <row r="550" ht="15.75" customHeight="1">
      <c r="A550" s="18">
        <v>546.0</v>
      </c>
      <c r="B550" s="19" t="s">
        <v>937</v>
      </c>
      <c r="C550" s="19" t="s">
        <v>1887</v>
      </c>
      <c r="D550" s="19" t="s">
        <v>1901</v>
      </c>
      <c r="E550" s="53" t="s">
        <v>42</v>
      </c>
      <c r="F550" s="48" t="s">
        <v>77</v>
      </c>
      <c r="G550" s="46" t="s">
        <v>50</v>
      </c>
      <c r="H550" s="39"/>
      <c r="I550" s="19"/>
      <c r="J550" s="19" t="str">
        <f t="array" ref="J550">IF($I550="","",IFERROR(INDEX(Legend!$C$41:$C$45,MATCH($I550,Legend!$B$41:$B$45,0)),""))</f>
        <v/>
      </c>
      <c r="K550" s="19"/>
    </row>
    <row r="551" ht="15.75" customHeight="1">
      <c r="A551" s="18">
        <v>547.0</v>
      </c>
      <c r="B551" s="19" t="s">
        <v>937</v>
      </c>
      <c r="C551" s="19" t="s">
        <v>1902</v>
      </c>
      <c r="D551" s="19" t="s">
        <v>1903</v>
      </c>
      <c r="E551" s="20" t="s">
        <v>33</v>
      </c>
      <c r="F551" s="31" t="s">
        <v>34</v>
      </c>
      <c r="G551" s="37" t="s">
        <v>49</v>
      </c>
      <c r="H551" s="39"/>
      <c r="I551" s="19"/>
      <c r="J551" s="19" t="str">
        <f t="array" ref="J551">IF($I551="","",IFERROR(INDEX(Legend!$C$41:$C$45,MATCH($I551,Legend!$B$41:$B$45,0)),""))</f>
        <v/>
      </c>
      <c r="K551" s="19"/>
    </row>
    <row r="552" ht="15.75" customHeight="1">
      <c r="A552" s="18">
        <v>548.0</v>
      </c>
      <c r="B552" s="19" t="s">
        <v>937</v>
      </c>
      <c r="C552" s="19" t="s">
        <v>1902</v>
      </c>
      <c r="D552" s="19" t="s">
        <v>1904</v>
      </c>
      <c r="E552" s="53" t="s">
        <v>42</v>
      </c>
      <c r="F552" s="48" t="s">
        <v>77</v>
      </c>
      <c r="G552" s="46" t="s">
        <v>50</v>
      </c>
      <c r="H552" s="39"/>
      <c r="I552" s="19"/>
      <c r="J552" s="19" t="str">
        <f t="array" ref="J552">IF($I552="","",IFERROR(INDEX(Legend!$C$41:$C$45,MATCH($I552,Legend!$B$41:$B$45,0)),""))</f>
        <v/>
      </c>
      <c r="K552" s="19"/>
    </row>
    <row r="553" ht="15.75" customHeight="1">
      <c r="A553" s="18">
        <v>549.0</v>
      </c>
      <c r="B553" s="19" t="s">
        <v>937</v>
      </c>
      <c r="C553" s="19" t="s">
        <v>1902</v>
      </c>
      <c r="D553" s="19" t="s">
        <v>1905</v>
      </c>
      <c r="E553" s="53" t="s">
        <v>42</v>
      </c>
      <c r="F553" s="48" t="s">
        <v>77</v>
      </c>
      <c r="G553" s="37" t="s">
        <v>49</v>
      </c>
      <c r="H553" s="39" t="s">
        <v>1906</v>
      </c>
      <c r="I553" s="19"/>
      <c r="J553" s="19" t="str">
        <f t="array" ref="J553">IF($I553="","",IFERROR(INDEX(Legend!$C$41:$C$45,MATCH($I553,Legend!$B$41:$B$45,0)),""))</f>
        <v/>
      </c>
      <c r="K553" s="19"/>
    </row>
    <row r="554" ht="15.75" customHeight="1">
      <c r="A554" s="18">
        <v>550.0</v>
      </c>
      <c r="B554" s="19" t="s">
        <v>937</v>
      </c>
      <c r="C554" s="19" t="s">
        <v>1902</v>
      </c>
      <c r="D554" s="19" t="s">
        <v>1907</v>
      </c>
      <c r="E554" s="53" t="s">
        <v>42</v>
      </c>
      <c r="F554" s="31" t="s">
        <v>34</v>
      </c>
      <c r="G554" s="37" t="s">
        <v>49</v>
      </c>
      <c r="H554" s="39" t="s">
        <v>1908</v>
      </c>
      <c r="I554" s="19"/>
      <c r="J554" s="19" t="str">
        <f t="array" ref="J554">IF($I554="","",IFERROR(INDEX(Legend!$C$41:$C$45,MATCH($I554,Legend!$B$41:$B$45,0)),""))</f>
        <v/>
      </c>
      <c r="K554" s="19"/>
    </row>
    <row r="555" ht="15.75" customHeight="1">
      <c r="A555" s="18">
        <v>551.0</v>
      </c>
      <c r="B555" s="19" t="s">
        <v>937</v>
      </c>
      <c r="C555" s="19" t="s">
        <v>1902</v>
      </c>
      <c r="D555" s="19" t="s">
        <v>1909</v>
      </c>
      <c r="E555" s="53" t="s">
        <v>42</v>
      </c>
      <c r="F555" s="31" t="s">
        <v>34</v>
      </c>
      <c r="G555" s="37" t="s">
        <v>49</v>
      </c>
      <c r="H555" s="39"/>
      <c r="I555" s="19"/>
      <c r="J555" s="19" t="str">
        <f t="array" ref="J555">IF($I555="","",IFERROR(INDEX(Legend!$C$41:$C$45,MATCH($I555,Legend!$B$41:$B$45,0)),""))</f>
        <v/>
      </c>
      <c r="K555" s="19"/>
    </row>
    <row r="556" ht="15.75" customHeight="1">
      <c r="A556" s="18">
        <v>552.0</v>
      </c>
      <c r="B556" s="19" t="s">
        <v>937</v>
      </c>
      <c r="C556" s="19" t="s">
        <v>1902</v>
      </c>
      <c r="D556" s="19" t="s">
        <v>1910</v>
      </c>
      <c r="E556" s="53" t="s">
        <v>42</v>
      </c>
      <c r="F556" s="31" t="s">
        <v>34</v>
      </c>
      <c r="G556" s="37" t="s">
        <v>49</v>
      </c>
      <c r="H556" s="39" t="s">
        <v>1911</v>
      </c>
      <c r="I556" s="19"/>
      <c r="J556" s="19" t="str">
        <f t="array" ref="J556">IF($I556="","",IFERROR(INDEX(Legend!$C$41:$C$45,MATCH($I556,Legend!$B$41:$B$45,0)),""))</f>
        <v/>
      </c>
      <c r="K556" s="19"/>
    </row>
    <row r="557" ht="15.75" customHeight="1">
      <c r="A557" s="18">
        <v>553.0</v>
      </c>
      <c r="B557" s="19" t="s">
        <v>937</v>
      </c>
      <c r="C557" s="19" t="s">
        <v>1902</v>
      </c>
      <c r="D557" s="19" t="s">
        <v>1912</v>
      </c>
      <c r="E557" s="53" t="s">
        <v>42</v>
      </c>
      <c r="F557" s="48" t="s">
        <v>77</v>
      </c>
      <c r="G557" s="37" t="s">
        <v>49</v>
      </c>
      <c r="H557" s="39"/>
      <c r="I557" s="19"/>
      <c r="J557" s="19" t="str">
        <f t="array" ref="J557">IF($I557="","",IFERROR(INDEX(Legend!$C$41:$C$45,MATCH($I557,Legend!$B$41:$B$45,0)),""))</f>
        <v/>
      </c>
      <c r="K557" s="19"/>
    </row>
    <row r="558" ht="15.75" customHeight="1">
      <c r="A558" s="18">
        <v>554.0</v>
      </c>
      <c r="B558" s="19" t="s">
        <v>937</v>
      </c>
      <c r="C558" s="19" t="s">
        <v>1902</v>
      </c>
      <c r="D558" s="19" t="s">
        <v>1913</v>
      </c>
      <c r="E558" s="53" t="s">
        <v>42</v>
      </c>
      <c r="F558" s="31" t="s">
        <v>34</v>
      </c>
      <c r="G558" s="37" t="s">
        <v>49</v>
      </c>
      <c r="H558" s="39" t="s">
        <v>1914</v>
      </c>
      <c r="I558" s="19"/>
      <c r="J558" s="19" t="str">
        <f t="array" ref="J558">IF($I558="","",IFERROR(INDEX(Legend!$C$41:$C$45,MATCH($I558,Legend!$B$41:$B$45,0)),""))</f>
        <v/>
      </c>
      <c r="K558" s="19"/>
    </row>
    <row r="559" ht="15.75" customHeight="1">
      <c r="A559" s="18">
        <v>555.0</v>
      </c>
      <c r="B559" s="19" t="s">
        <v>937</v>
      </c>
      <c r="C559" s="19" t="s">
        <v>1902</v>
      </c>
      <c r="D559" s="19" t="s">
        <v>1915</v>
      </c>
      <c r="E559" s="53" t="s">
        <v>42</v>
      </c>
      <c r="F559" s="31" t="s">
        <v>34</v>
      </c>
      <c r="G559" s="37" t="s">
        <v>49</v>
      </c>
      <c r="H559" s="39"/>
      <c r="I559" s="19"/>
      <c r="J559" s="19" t="str">
        <f t="array" ref="J559">IF($I559="","",IFERROR(INDEX(Legend!$C$41:$C$45,MATCH($I559,Legend!$B$41:$B$45,0)),""))</f>
        <v/>
      </c>
      <c r="K559" s="19"/>
    </row>
    <row r="560" ht="15.75" customHeight="1">
      <c r="A560" s="18">
        <v>556.0</v>
      </c>
      <c r="B560" s="19" t="s">
        <v>937</v>
      </c>
      <c r="C560" s="19" t="s">
        <v>1902</v>
      </c>
      <c r="D560" s="19" t="s">
        <v>1916</v>
      </c>
      <c r="E560" s="53" t="s">
        <v>42</v>
      </c>
      <c r="F560" s="31" t="s">
        <v>34</v>
      </c>
      <c r="G560" s="37" t="s">
        <v>49</v>
      </c>
      <c r="H560" s="39" t="s">
        <v>1917</v>
      </c>
      <c r="I560" s="19"/>
      <c r="J560" s="19" t="str">
        <f t="array" ref="J560">IF($I560="","",IFERROR(INDEX(Legend!$C$41:$C$45,MATCH($I560,Legend!$B$41:$B$45,0)),""))</f>
        <v/>
      </c>
      <c r="K560" s="19"/>
    </row>
    <row r="561" ht="15.75" customHeight="1">
      <c r="A561" s="18">
        <v>557.0</v>
      </c>
      <c r="B561" s="19" t="s">
        <v>937</v>
      </c>
      <c r="C561" s="19" t="s">
        <v>1902</v>
      </c>
      <c r="D561" s="19" t="s">
        <v>1918</v>
      </c>
      <c r="E561" s="53" t="s">
        <v>42</v>
      </c>
      <c r="F561" s="48" t="s">
        <v>77</v>
      </c>
      <c r="G561" s="37" t="s">
        <v>49</v>
      </c>
      <c r="H561" s="39" t="s">
        <v>1919</v>
      </c>
      <c r="I561" s="19"/>
      <c r="J561" s="19" t="str">
        <f t="array" ref="J561">IF($I561="","",IFERROR(INDEX(Legend!$C$41:$C$45,MATCH($I561,Legend!$B$41:$B$45,0)),""))</f>
        <v/>
      </c>
      <c r="K561" s="19"/>
    </row>
    <row r="562" ht="15.75" customHeight="1">
      <c r="A562" s="18">
        <v>558.0</v>
      </c>
      <c r="B562" s="19" t="s">
        <v>937</v>
      </c>
      <c r="C562" s="19" t="s">
        <v>1902</v>
      </c>
      <c r="D562" s="19" t="s">
        <v>1920</v>
      </c>
      <c r="E562" s="53" t="s">
        <v>42</v>
      </c>
      <c r="F562" s="31" t="s">
        <v>34</v>
      </c>
      <c r="G562" s="37" t="s">
        <v>49</v>
      </c>
      <c r="H562" s="39" t="s">
        <v>1921</v>
      </c>
      <c r="I562" s="19"/>
      <c r="J562" s="19" t="str">
        <f t="array" ref="J562">IF($I562="","",IFERROR(INDEX(Legend!$C$41:$C$45,MATCH($I562,Legend!$B$41:$B$45,0)),""))</f>
        <v/>
      </c>
      <c r="K562" s="19"/>
    </row>
    <row r="563" ht="15.75" customHeight="1">
      <c r="A563" s="18">
        <v>559.0</v>
      </c>
      <c r="B563" s="19" t="s">
        <v>937</v>
      </c>
      <c r="C563" s="19" t="s">
        <v>1902</v>
      </c>
      <c r="D563" s="19" t="s">
        <v>1922</v>
      </c>
      <c r="E563" s="53" t="s">
        <v>42</v>
      </c>
      <c r="F563" s="31" t="s">
        <v>34</v>
      </c>
      <c r="G563" s="46" t="s">
        <v>50</v>
      </c>
      <c r="H563" s="39"/>
      <c r="I563" s="19"/>
      <c r="J563" s="19" t="str">
        <f t="array" ref="J563">IF($I563="","",IFERROR(INDEX(Legend!$C$41:$C$45,MATCH($I563,Legend!$B$41:$B$45,0)),""))</f>
        <v/>
      </c>
      <c r="K563" s="19"/>
    </row>
    <row r="564" ht="15.75" customHeight="1">
      <c r="A564" s="18">
        <v>560.0</v>
      </c>
      <c r="B564" s="19" t="s">
        <v>937</v>
      </c>
      <c r="C564" s="19" t="s">
        <v>1902</v>
      </c>
      <c r="D564" s="19" t="s">
        <v>1923</v>
      </c>
      <c r="E564" s="53" t="s">
        <v>42</v>
      </c>
      <c r="F564" s="31" t="s">
        <v>34</v>
      </c>
      <c r="G564" s="46" t="s">
        <v>50</v>
      </c>
      <c r="H564" s="39"/>
      <c r="I564" s="19"/>
      <c r="J564" s="19" t="str">
        <f t="array" ref="J564">IF($I564="","",IFERROR(INDEX(Legend!$C$41:$C$45,MATCH($I564,Legend!$B$41:$B$45,0)),""))</f>
        <v/>
      </c>
      <c r="K564" s="19"/>
    </row>
    <row r="565" ht="15.75" customHeight="1">
      <c r="A565" s="18">
        <v>561.0</v>
      </c>
      <c r="B565" s="19" t="s">
        <v>937</v>
      </c>
      <c r="C565" s="19" t="s">
        <v>1902</v>
      </c>
      <c r="D565" s="19" t="s">
        <v>1924</v>
      </c>
      <c r="E565" s="53" t="s">
        <v>42</v>
      </c>
      <c r="F565" s="31" t="s">
        <v>34</v>
      </c>
      <c r="G565" s="37" t="s">
        <v>49</v>
      </c>
      <c r="H565" s="39"/>
      <c r="I565" s="19"/>
      <c r="J565" s="19" t="str">
        <f t="array" ref="J565">IF($I565="","",IFERROR(INDEX(Legend!$C$41:$C$45,MATCH($I565,Legend!$B$41:$B$45,0)),""))</f>
        <v/>
      </c>
      <c r="K565" s="19"/>
    </row>
    <row r="566" ht="15.75" customHeight="1">
      <c r="A566" s="18">
        <v>562.0</v>
      </c>
      <c r="B566" s="19" t="s">
        <v>937</v>
      </c>
      <c r="C566" s="19" t="s">
        <v>1902</v>
      </c>
      <c r="D566" s="19" t="s">
        <v>1925</v>
      </c>
      <c r="E566" s="53" t="s">
        <v>42</v>
      </c>
      <c r="F566" s="31" t="s">
        <v>34</v>
      </c>
      <c r="G566" s="37" t="s">
        <v>49</v>
      </c>
      <c r="H566" s="39"/>
      <c r="I566" s="19"/>
      <c r="J566" s="19" t="str">
        <f t="array" ref="J566">IF($I566="","",IFERROR(INDEX(Legend!$C$41:$C$45,MATCH($I566,Legend!$B$41:$B$45,0)),""))</f>
        <v/>
      </c>
      <c r="K566" s="19"/>
    </row>
    <row r="567" ht="15.75" customHeight="1">
      <c r="A567" s="18">
        <v>563.0</v>
      </c>
      <c r="B567" s="19" t="s">
        <v>937</v>
      </c>
      <c r="C567" s="19" t="s">
        <v>1902</v>
      </c>
      <c r="D567" s="19" t="s">
        <v>1926</v>
      </c>
      <c r="E567" s="53" t="s">
        <v>42</v>
      </c>
      <c r="F567" s="31" t="s">
        <v>34</v>
      </c>
      <c r="G567" s="37" t="s">
        <v>49</v>
      </c>
      <c r="H567" s="39"/>
      <c r="I567" s="19"/>
      <c r="J567" s="19" t="str">
        <f t="array" ref="J567">IF($I567="","",IFERROR(INDEX(Legend!$C$41:$C$45,MATCH($I567,Legend!$B$41:$B$45,0)),""))</f>
        <v/>
      </c>
      <c r="K567" s="19"/>
    </row>
    <row r="568" ht="15.75" customHeight="1">
      <c r="A568" s="18">
        <v>564.0</v>
      </c>
      <c r="B568" s="19" t="s">
        <v>937</v>
      </c>
      <c r="C568" s="19" t="s">
        <v>1902</v>
      </c>
      <c r="D568" s="19" t="s">
        <v>1927</v>
      </c>
      <c r="E568" s="53" t="s">
        <v>42</v>
      </c>
      <c r="F568" s="48" t="s">
        <v>77</v>
      </c>
      <c r="G568" s="37" t="s">
        <v>49</v>
      </c>
      <c r="H568" s="39" t="s">
        <v>1928</v>
      </c>
      <c r="I568" s="19"/>
      <c r="J568" s="19" t="str">
        <f t="array" ref="J568">IF($I568="","",IFERROR(INDEX(Legend!$C$41:$C$45,MATCH($I568,Legend!$B$41:$B$45,0)),""))</f>
        <v/>
      </c>
      <c r="K568" s="19"/>
    </row>
    <row r="569" ht="15.75" customHeight="1">
      <c r="A569" s="18">
        <v>565.0</v>
      </c>
      <c r="B569" s="19" t="s">
        <v>937</v>
      </c>
      <c r="C569" s="19" t="s">
        <v>1902</v>
      </c>
      <c r="D569" s="19" t="s">
        <v>1929</v>
      </c>
      <c r="E569" s="53" t="s">
        <v>42</v>
      </c>
      <c r="F569" s="48" t="s">
        <v>77</v>
      </c>
      <c r="G569" s="37" t="s">
        <v>49</v>
      </c>
      <c r="H569" s="39"/>
      <c r="I569" s="19"/>
      <c r="J569" s="19" t="str">
        <f t="array" ref="J569">IF($I569="","",IFERROR(INDEX(Legend!$C$41:$C$45,MATCH($I569,Legend!$B$41:$B$45,0)),""))</f>
        <v/>
      </c>
      <c r="K569" s="19"/>
    </row>
    <row r="570" ht="15.75" customHeight="1">
      <c r="A570" s="18">
        <v>566.0</v>
      </c>
      <c r="B570" s="19" t="s">
        <v>937</v>
      </c>
      <c r="C570" s="19" t="s">
        <v>1902</v>
      </c>
      <c r="D570" s="19" t="s">
        <v>1930</v>
      </c>
      <c r="E570" s="53" t="s">
        <v>42</v>
      </c>
      <c r="F570" s="31" t="s">
        <v>34</v>
      </c>
      <c r="G570" s="46" t="s">
        <v>50</v>
      </c>
      <c r="H570" s="39"/>
      <c r="I570" s="19"/>
      <c r="J570" s="19" t="str">
        <f t="array" ref="J570">IF($I570="","",IFERROR(INDEX(Legend!$C$41:$C$45,MATCH($I570,Legend!$B$41:$B$45,0)),""))</f>
        <v/>
      </c>
      <c r="K570" s="19"/>
    </row>
    <row r="571" ht="15.75" customHeight="1">
      <c r="A571" s="18">
        <v>567.0</v>
      </c>
      <c r="B571" s="19" t="s">
        <v>937</v>
      </c>
      <c r="C571" s="19" t="s">
        <v>1902</v>
      </c>
      <c r="D571" s="19" t="s">
        <v>1931</v>
      </c>
      <c r="E571" s="53" t="s">
        <v>42</v>
      </c>
      <c r="F571" s="54" t="s">
        <v>46</v>
      </c>
      <c r="G571" s="61" t="s">
        <v>47</v>
      </c>
      <c r="H571" s="39"/>
      <c r="I571" s="19"/>
      <c r="J571" s="19" t="str">
        <f t="array" ref="J571">IF($I571="","",IFERROR(INDEX(Legend!$C$41:$C$45,MATCH($I571,Legend!$B$41:$B$45,0)),""))</f>
        <v/>
      </c>
      <c r="K571" s="19"/>
    </row>
    <row r="572" ht="15.75" customHeight="1">
      <c r="A572" s="18">
        <v>568.0</v>
      </c>
      <c r="B572" s="19" t="s">
        <v>937</v>
      </c>
      <c r="C572" s="19" t="s">
        <v>1902</v>
      </c>
      <c r="D572" s="19" t="s">
        <v>1932</v>
      </c>
      <c r="E572" s="53" t="s">
        <v>42</v>
      </c>
      <c r="F572" s="31" t="s">
        <v>34</v>
      </c>
      <c r="G572" s="37" t="s">
        <v>49</v>
      </c>
      <c r="H572" s="39" t="s">
        <v>1933</v>
      </c>
      <c r="I572" s="19"/>
      <c r="J572" s="19" t="str">
        <f t="array" ref="J572">IF($I572="","",IFERROR(INDEX(Legend!$C$41:$C$45,MATCH($I572,Legend!$B$41:$B$45,0)),""))</f>
        <v/>
      </c>
      <c r="K572" s="19"/>
    </row>
    <row r="573" ht="15.75" customHeight="1">
      <c r="A573" s="18">
        <v>569.0</v>
      </c>
      <c r="B573" s="19" t="s">
        <v>937</v>
      </c>
      <c r="C573" s="19" t="s">
        <v>1902</v>
      </c>
      <c r="D573" s="19" t="s">
        <v>1934</v>
      </c>
      <c r="E573" s="53" t="s">
        <v>42</v>
      </c>
      <c r="F573" s="31" t="s">
        <v>34</v>
      </c>
      <c r="G573" s="37" t="s">
        <v>49</v>
      </c>
      <c r="H573" s="39"/>
      <c r="I573" s="19"/>
      <c r="J573" s="19" t="str">
        <f t="array" ref="J573">IF($I573="","",IFERROR(INDEX(Legend!$C$41:$C$45,MATCH($I573,Legend!$B$41:$B$45,0)),""))</f>
        <v/>
      </c>
      <c r="K573" s="19"/>
    </row>
    <row r="574" ht="15.75" customHeight="1">
      <c r="A574" s="18">
        <v>570.0</v>
      </c>
      <c r="B574" s="19" t="s">
        <v>937</v>
      </c>
      <c r="C574" s="19" t="s">
        <v>1902</v>
      </c>
      <c r="D574" s="19" t="s">
        <v>1935</v>
      </c>
      <c r="E574" s="53" t="s">
        <v>42</v>
      </c>
      <c r="F574" s="31" t="s">
        <v>34</v>
      </c>
      <c r="G574" s="46" t="s">
        <v>50</v>
      </c>
      <c r="H574" s="39"/>
      <c r="I574" s="19"/>
      <c r="J574" s="19" t="str">
        <f t="array" ref="J574">IF($I574="","",IFERROR(INDEX(Legend!$C$41:$C$45,MATCH($I574,Legend!$B$41:$B$45,0)),""))</f>
        <v/>
      </c>
      <c r="K574" s="19"/>
    </row>
    <row r="575" ht="15.75" customHeight="1">
      <c r="A575" s="18">
        <v>571.0</v>
      </c>
      <c r="B575" s="19" t="s">
        <v>937</v>
      </c>
      <c r="C575" s="19" t="s">
        <v>1902</v>
      </c>
      <c r="D575" s="19" t="s">
        <v>1936</v>
      </c>
      <c r="E575" s="53" t="s">
        <v>42</v>
      </c>
      <c r="F575" s="31" t="s">
        <v>34</v>
      </c>
      <c r="G575" s="46" t="s">
        <v>50</v>
      </c>
      <c r="H575" s="39" t="s">
        <v>1937</v>
      </c>
      <c r="I575" s="19"/>
      <c r="J575" s="19" t="str">
        <f t="array" ref="J575">IF($I575="","",IFERROR(INDEX(Legend!$C$41:$C$45,MATCH($I575,Legend!$B$41:$B$45,0)),""))</f>
        <v/>
      </c>
      <c r="K575" s="19"/>
    </row>
    <row r="576" ht="15.75" customHeight="1">
      <c r="A576" s="18">
        <v>572.0</v>
      </c>
      <c r="B576" s="19" t="s">
        <v>937</v>
      </c>
      <c r="C576" s="19" t="s">
        <v>1938</v>
      </c>
      <c r="D576" s="19" t="s">
        <v>1939</v>
      </c>
      <c r="E576" s="20" t="s">
        <v>33</v>
      </c>
      <c r="F576" s="48" t="s">
        <v>77</v>
      </c>
      <c r="G576" s="37" t="s">
        <v>49</v>
      </c>
      <c r="H576" s="39" t="s">
        <v>1940</v>
      </c>
      <c r="I576" s="19"/>
      <c r="J576" s="19" t="str">
        <f t="array" ref="J576">IF($I576="","",IFERROR(INDEX(Legend!$C$41:$C$45,MATCH($I576,Legend!$B$41:$B$45,0)),""))</f>
        <v/>
      </c>
      <c r="K576" s="19"/>
    </row>
    <row r="577" ht="15.75" customHeight="1">
      <c r="A577" s="18">
        <v>573.0</v>
      </c>
      <c r="B577" s="19" t="s">
        <v>937</v>
      </c>
      <c r="C577" s="19" t="s">
        <v>1938</v>
      </c>
      <c r="D577" s="19" t="s">
        <v>1941</v>
      </c>
      <c r="E577" s="53" t="s">
        <v>42</v>
      </c>
      <c r="F577" s="48" t="s">
        <v>77</v>
      </c>
      <c r="G577" s="37" t="s">
        <v>49</v>
      </c>
      <c r="H577" s="39" t="s">
        <v>1942</v>
      </c>
      <c r="I577" s="19"/>
      <c r="J577" s="19" t="str">
        <f t="array" ref="J577">IF($I577="","",IFERROR(INDEX(Legend!$C$41:$C$45,MATCH($I577,Legend!$B$41:$B$45,0)),""))</f>
        <v/>
      </c>
      <c r="K577" s="19"/>
    </row>
    <row r="578" ht="15.75" customHeight="1">
      <c r="A578" s="18">
        <v>574.0</v>
      </c>
      <c r="B578" s="19" t="s">
        <v>937</v>
      </c>
      <c r="C578" s="19" t="s">
        <v>1938</v>
      </c>
      <c r="D578" s="19" t="s">
        <v>1943</v>
      </c>
      <c r="E578" s="20" t="s">
        <v>33</v>
      </c>
      <c r="F578" s="31" t="s">
        <v>34</v>
      </c>
      <c r="G578" s="37" t="s">
        <v>49</v>
      </c>
      <c r="H578" s="39" t="s">
        <v>1944</v>
      </c>
      <c r="I578" s="19"/>
      <c r="J578" s="19" t="str">
        <f t="array" ref="J578">IF($I578="","",IFERROR(INDEX(Legend!$C$41:$C$45,MATCH($I578,Legend!$B$41:$B$45,0)),""))</f>
        <v/>
      </c>
      <c r="K578" s="19"/>
    </row>
    <row r="579" ht="15.75" customHeight="1">
      <c r="A579" s="18">
        <v>575.0</v>
      </c>
      <c r="B579" s="19" t="s">
        <v>937</v>
      </c>
      <c r="C579" s="19" t="s">
        <v>1938</v>
      </c>
      <c r="D579" s="19" t="s">
        <v>1945</v>
      </c>
      <c r="E579" s="53" t="s">
        <v>42</v>
      </c>
      <c r="F579" s="48" t="s">
        <v>77</v>
      </c>
      <c r="G579" s="37" t="s">
        <v>49</v>
      </c>
      <c r="H579" s="39" t="s">
        <v>1946</v>
      </c>
      <c r="I579" s="19"/>
      <c r="J579" s="19" t="str">
        <f t="array" ref="J579">IF($I579="","",IFERROR(INDEX(Legend!$C$41:$C$45,MATCH($I579,Legend!$B$41:$B$45,0)),""))</f>
        <v/>
      </c>
      <c r="K579" s="19"/>
    </row>
    <row r="580" ht="15.75" customHeight="1">
      <c r="A580" s="18">
        <v>576.0</v>
      </c>
      <c r="B580" s="19" t="s">
        <v>937</v>
      </c>
      <c r="C580" s="19" t="s">
        <v>1938</v>
      </c>
      <c r="D580" s="19" t="s">
        <v>1947</v>
      </c>
      <c r="E580" s="53" t="s">
        <v>42</v>
      </c>
      <c r="F580" s="31" t="s">
        <v>34</v>
      </c>
      <c r="G580" s="37" t="s">
        <v>49</v>
      </c>
      <c r="H580" s="39"/>
      <c r="I580" s="19"/>
      <c r="J580" s="19" t="str">
        <f t="array" ref="J580">IF($I580="","",IFERROR(INDEX(Legend!$C$41:$C$45,MATCH($I580,Legend!$B$41:$B$45,0)),""))</f>
        <v/>
      </c>
      <c r="K580" s="19"/>
    </row>
    <row r="581" ht="15.75" customHeight="1">
      <c r="A581" s="18">
        <v>577.0</v>
      </c>
      <c r="B581" s="19" t="s">
        <v>937</v>
      </c>
      <c r="C581" s="19" t="s">
        <v>1938</v>
      </c>
      <c r="D581" s="19" t="s">
        <v>1948</v>
      </c>
      <c r="E581" s="53" t="s">
        <v>42</v>
      </c>
      <c r="F581" s="48" t="s">
        <v>77</v>
      </c>
      <c r="G581" s="37" t="s">
        <v>49</v>
      </c>
      <c r="H581" s="39"/>
      <c r="I581" s="19"/>
      <c r="J581" s="19" t="str">
        <f t="array" ref="J581">IF($I581="","",IFERROR(INDEX(Legend!$C$41:$C$45,MATCH($I581,Legend!$B$41:$B$45,0)),""))</f>
        <v/>
      </c>
      <c r="K581" s="19"/>
    </row>
    <row r="582" ht="15.75" customHeight="1">
      <c r="A582" s="18">
        <v>578.0</v>
      </c>
      <c r="B582" s="19" t="s">
        <v>937</v>
      </c>
      <c r="C582" s="19" t="s">
        <v>1938</v>
      </c>
      <c r="D582" s="19" t="s">
        <v>1949</v>
      </c>
      <c r="E582" s="53" t="s">
        <v>42</v>
      </c>
      <c r="F582" s="31" t="s">
        <v>34</v>
      </c>
      <c r="G582" s="37" t="s">
        <v>49</v>
      </c>
      <c r="H582" s="39" t="s">
        <v>1950</v>
      </c>
      <c r="I582" s="19"/>
      <c r="J582" s="19" t="str">
        <f t="array" ref="J582">IF($I582="","",IFERROR(INDEX(Legend!$C$41:$C$45,MATCH($I582,Legend!$B$41:$B$45,0)),""))</f>
        <v/>
      </c>
      <c r="K582" s="19"/>
    </row>
    <row r="583" ht="15.75" customHeight="1">
      <c r="A583" s="18">
        <v>579.0</v>
      </c>
      <c r="B583" s="19" t="s">
        <v>937</v>
      </c>
      <c r="C583" s="19" t="s">
        <v>1938</v>
      </c>
      <c r="D583" s="19" t="s">
        <v>1951</v>
      </c>
      <c r="E583" s="53" t="s">
        <v>42</v>
      </c>
      <c r="F583" s="31" t="s">
        <v>34</v>
      </c>
      <c r="G583" s="46" t="s">
        <v>50</v>
      </c>
      <c r="H583" s="39"/>
      <c r="I583" s="19"/>
      <c r="J583" s="19" t="str">
        <f t="array" ref="J583">IF($I583="","",IFERROR(INDEX(Legend!$C$41:$C$45,MATCH($I583,Legend!$B$41:$B$45,0)),""))</f>
        <v/>
      </c>
      <c r="K583" s="19"/>
    </row>
    <row r="584" ht="15.75" customHeight="1">
      <c r="A584" s="18">
        <v>580.0</v>
      </c>
      <c r="B584" s="19" t="s">
        <v>937</v>
      </c>
      <c r="C584" s="19" t="s">
        <v>1938</v>
      </c>
      <c r="D584" s="19" t="s">
        <v>1952</v>
      </c>
      <c r="E584" s="53" t="s">
        <v>42</v>
      </c>
      <c r="F584" s="48" t="s">
        <v>77</v>
      </c>
      <c r="G584" s="46" t="s">
        <v>50</v>
      </c>
      <c r="H584" s="39" t="s">
        <v>1953</v>
      </c>
      <c r="I584" s="19"/>
      <c r="J584" s="19" t="str">
        <f t="array" ref="J584">IF($I584="","",IFERROR(INDEX(Legend!$C$41:$C$45,MATCH($I584,Legend!$B$41:$B$45,0)),""))</f>
        <v/>
      </c>
      <c r="K584" s="19"/>
    </row>
    <row r="585" ht="15.75" customHeight="1">
      <c r="A585" s="18">
        <v>581.0</v>
      </c>
      <c r="B585" s="19" t="s">
        <v>937</v>
      </c>
      <c r="C585" s="19" t="s">
        <v>1938</v>
      </c>
      <c r="D585" s="19" t="s">
        <v>1954</v>
      </c>
      <c r="E585" s="53" t="s">
        <v>42</v>
      </c>
      <c r="F585" s="31" t="s">
        <v>34</v>
      </c>
      <c r="G585" s="37" t="s">
        <v>49</v>
      </c>
      <c r="H585" s="39"/>
      <c r="I585" s="19"/>
      <c r="J585" s="19" t="str">
        <f t="array" ref="J585">IF($I585="","",IFERROR(INDEX(Legend!$C$41:$C$45,MATCH($I585,Legend!$B$41:$B$45,0)),""))</f>
        <v/>
      </c>
      <c r="K585" s="19"/>
    </row>
    <row r="586" ht="15.75" customHeight="1">
      <c r="A586" s="18">
        <v>582.0</v>
      </c>
      <c r="B586" s="19" t="s">
        <v>937</v>
      </c>
      <c r="C586" s="19" t="s">
        <v>1938</v>
      </c>
      <c r="D586" s="19" t="s">
        <v>1955</v>
      </c>
      <c r="E586" s="53" t="s">
        <v>42</v>
      </c>
      <c r="F586" s="31" t="s">
        <v>34</v>
      </c>
      <c r="G586" s="46" t="s">
        <v>50</v>
      </c>
      <c r="H586" s="39"/>
      <c r="I586" s="19"/>
      <c r="J586" s="19" t="str">
        <f t="array" ref="J586">IF($I586="","",IFERROR(INDEX(Legend!$C$41:$C$45,MATCH($I586,Legend!$B$41:$B$45,0)),""))</f>
        <v/>
      </c>
      <c r="K586" s="19"/>
    </row>
    <row r="587" ht="15.75" customHeight="1">
      <c r="A587" s="18">
        <v>583.0</v>
      </c>
      <c r="B587" s="19" t="s">
        <v>937</v>
      </c>
      <c r="C587" s="19" t="s">
        <v>1938</v>
      </c>
      <c r="D587" s="19" t="s">
        <v>1956</v>
      </c>
      <c r="E587" s="53" t="s">
        <v>42</v>
      </c>
      <c r="F587" s="54" t="s">
        <v>46</v>
      </c>
      <c r="G587" s="46" t="s">
        <v>50</v>
      </c>
      <c r="H587" s="39" t="s">
        <v>1957</v>
      </c>
      <c r="I587" s="19"/>
      <c r="J587" s="19" t="str">
        <f t="array" ref="J587">IF($I587="","",IFERROR(INDEX(Legend!$C$41:$C$45,MATCH($I587,Legend!$B$41:$B$45,0)),""))</f>
        <v/>
      </c>
      <c r="K587" s="19"/>
    </row>
    <row r="588" ht="15.75" customHeight="1">
      <c r="A588" s="18">
        <v>584.0</v>
      </c>
      <c r="B588" s="19" t="s">
        <v>937</v>
      </c>
      <c r="C588" s="19" t="s">
        <v>1938</v>
      </c>
      <c r="D588" s="19" t="s">
        <v>1958</v>
      </c>
      <c r="E588" s="53" t="s">
        <v>42</v>
      </c>
      <c r="F588" s="48" t="s">
        <v>77</v>
      </c>
      <c r="G588" s="46" t="s">
        <v>50</v>
      </c>
      <c r="H588" s="39" t="s">
        <v>1959</v>
      </c>
      <c r="I588" s="19"/>
      <c r="J588" s="19" t="str">
        <f t="array" ref="J588">IF($I588="","",IFERROR(INDEX(Legend!$C$41:$C$45,MATCH($I588,Legend!$B$41:$B$45,0)),""))</f>
        <v/>
      </c>
      <c r="K588" s="19"/>
    </row>
    <row r="589" ht="15.75" customHeight="1">
      <c r="A589" s="18">
        <v>585.0</v>
      </c>
      <c r="B589" s="19" t="s">
        <v>937</v>
      </c>
      <c r="C589" s="19" t="s">
        <v>1960</v>
      </c>
      <c r="D589" s="19" t="s">
        <v>1961</v>
      </c>
      <c r="E589" s="20" t="s">
        <v>33</v>
      </c>
      <c r="F589" s="31" t="s">
        <v>34</v>
      </c>
      <c r="G589" s="37" t="s">
        <v>49</v>
      </c>
      <c r="H589" s="39"/>
      <c r="I589" s="19"/>
      <c r="J589" s="19" t="str">
        <f t="array" ref="J589">IF($I589="","",IFERROR(INDEX(Legend!$C$41:$C$45,MATCH($I589,Legend!$B$41:$B$45,0)),""))</f>
        <v/>
      </c>
      <c r="K589" s="19"/>
    </row>
    <row r="590" ht="15.75" customHeight="1">
      <c r="A590" s="18">
        <v>586.0</v>
      </c>
      <c r="B590" s="19" t="s">
        <v>937</v>
      </c>
      <c r="C590" s="19" t="s">
        <v>1960</v>
      </c>
      <c r="D590" s="19" t="s">
        <v>1962</v>
      </c>
      <c r="E590" s="53" t="s">
        <v>42</v>
      </c>
      <c r="F590" s="48" t="s">
        <v>77</v>
      </c>
      <c r="G590" s="37" t="s">
        <v>49</v>
      </c>
      <c r="H590" s="39" t="s">
        <v>1963</v>
      </c>
      <c r="I590" s="19"/>
      <c r="J590" s="19" t="str">
        <f t="array" ref="J590">IF($I590="","",IFERROR(INDEX(Legend!$C$41:$C$45,MATCH($I590,Legend!$B$41:$B$45,0)),""))</f>
        <v/>
      </c>
      <c r="K590" s="19"/>
    </row>
    <row r="591" ht="15.75" customHeight="1">
      <c r="A591" s="18">
        <v>587.0</v>
      </c>
      <c r="B591" s="19" t="s">
        <v>937</v>
      </c>
      <c r="C591" s="19" t="s">
        <v>1960</v>
      </c>
      <c r="D591" s="19" t="s">
        <v>1964</v>
      </c>
      <c r="E591" s="53" t="s">
        <v>42</v>
      </c>
      <c r="F591" s="31" t="s">
        <v>34</v>
      </c>
      <c r="G591" s="37" t="s">
        <v>49</v>
      </c>
      <c r="H591" s="39"/>
      <c r="I591" s="19"/>
      <c r="J591" s="19" t="str">
        <f t="array" ref="J591">IF($I591="","",IFERROR(INDEX(Legend!$C$41:$C$45,MATCH($I591,Legend!$B$41:$B$45,0)),""))</f>
        <v/>
      </c>
      <c r="K591" s="19"/>
    </row>
    <row r="592" ht="15.75" customHeight="1">
      <c r="A592" s="18">
        <v>588.0</v>
      </c>
      <c r="B592" s="19" t="s">
        <v>937</v>
      </c>
      <c r="C592" s="19" t="s">
        <v>1960</v>
      </c>
      <c r="D592" s="19" t="s">
        <v>1965</v>
      </c>
      <c r="E592" s="53" t="s">
        <v>42</v>
      </c>
      <c r="F592" s="31" t="s">
        <v>34</v>
      </c>
      <c r="G592" s="37" t="s">
        <v>49</v>
      </c>
      <c r="H592" s="39"/>
      <c r="I592" s="19"/>
      <c r="J592" s="19" t="str">
        <f t="array" ref="J592">IF($I592="","",IFERROR(INDEX(Legend!$C$41:$C$45,MATCH($I592,Legend!$B$41:$B$45,0)),""))</f>
        <v/>
      </c>
      <c r="K592" s="19"/>
    </row>
    <row r="593" ht="15.75" customHeight="1">
      <c r="A593" s="18">
        <v>589.0</v>
      </c>
      <c r="B593" s="19" t="s">
        <v>937</v>
      </c>
      <c r="C593" s="19" t="s">
        <v>1960</v>
      </c>
      <c r="D593" s="19" t="s">
        <v>1966</v>
      </c>
      <c r="E593" s="53" t="s">
        <v>42</v>
      </c>
      <c r="F593" s="31" t="s">
        <v>34</v>
      </c>
      <c r="G593" s="46" t="s">
        <v>50</v>
      </c>
      <c r="H593" s="39"/>
      <c r="I593" s="19"/>
      <c r="J593" s="19" t="str">
        <f t="array" ref="J593">IF($I593="","",IFERROR(INDEX(Legend!$C$41:$C$45,MATCH($I593,Legend!$B$41:$B$45,0)),""))</f>
        <v/>
      </c>
      <c r="K593" s="19"/>
    </row>
    <row r="594" ht="15.75" customHeight="1">
      <c r="A594" s="18">
        <v>590.0</v>
      </c>
      <c r="B594" s="19" t="s">
        <v>937</v>
      </c>
      <c r="C594" s="19" t="s">
        <v>1960</v>
      </c>
      <c r="D594" s="19" t="s">
        <v>1967</v>
      </c>
      <c r="E594" s="53" t="s">
        <v>42</v>
      </c>
      <c r="F594" s="31" t="s">
        <v>34</v>
      </c>
      <c r="G594" s="37" t="s">
        <v>49</v>
      </c>
      <c r="H594" s="39"/>
      <c r="I594" s="19"/>
      <c r="J594" s="19" t="str">
        <f t="array" ref="J594">IF($I594="","",IFERROR(INDEX(Legend!$C$41:$C$45,MATCH($I594,Legend!$B$41:$B$45,0)),""))</f>
        <v/>
      </c>
      <c r="K594" s="19"/>
    </row>
    <row r="595" ht="15.75" customHeight="1">
      <c r="A595" s="18">
        <v>591.0</v>
      </c>
      <c r="B595" s="19" t="s">
        <v>937</v>
      </c>
      <c r="C595" s="19" t="s">
        <v>1960</v>
      </c>
      <c r="D595" s="19" t="s">
        <v>1968</v>
      </c>
      <c r="E595" s="53" t="s">
        <v>42</v>
      </c>
      <c r="F595" s="31" t="s">
        <v>34</v>
      </c>
      <c r="G595" s="46" t="s">
        <v>50</v>
      </c>
      <c r="H595" s="39"/>
      <c r="I595" s="19"/>
      <c r="J595" s="19" t="str">
        <f t="array" ref="J595">IF($I595="","",IFERROR(INDEX(Legend!$C$41:$C$45,MATCH($I595,Legend!$B$41:$B$45,0)),""))</f>
        <v/>
      </c>
      <c r="K595" s="19"/>
    </row>
    <row r="596" ht="15.75" customHeight="1">
      <c r="A596" s="18">
        <v>592.0</v>
      </c>
      <c r="B596" s="19" t="s">
        <v>937</v>
      </c>
      <c r="C596" s="19" t="s">
        <v>1960</v>
      </c>
      <c r="D596" s="19" t="s">
        <v>1969</v>
      </c>
      <c r="E596" s="53" t="s">
        <v>42</v>
      </c>
      <c r="F596" s="54" t="s">
        <v>46</v>
      </c>
      <c r="G596" s="46" t="s">
        <v>50</v>
      </c>
      <c r="H596" s="39" t="s">
        <v>1970</v>
      </c>
      <c r="I596" s="19"/>
      <c r="J596" s="19" t="str">
        <f t="array" ref="J596">IF($I596="","",IFERROR(INDEX(Legend!$C$41:$C$45,MATCH($I596,Legend!$B$41:$B$45,0)),""))</f>
        <v/>
      </c>
      <c r="K596" s="19"/>
    </row>
    <row r="597" ht="15.75" customHeight="1">
      <c r="A597" s="18">
        <v>593.0</v>
      </c>
      <c r="B597" s="19" t="s">
        <v>937</v>
      </c>
      <c r="C597" s="19" t="s">
        <v>1960</v>
      </c>
      <c r="D597" s="19" t="s">
        <v>1971</v>
      </c>
      <c r="E597" s="53" t="s">
        <v>42</v>
      </c>
      <c r="F597" s="48" t="s">
        <v>77</v>
      </c>
      <c r="G597" s="46" t="s">
        <v>50</v>
      </c>
      <c r="H597" s="39" t="s">
        <v>1972</v>
      </c>
      <c r="I597" s="19"/>
      <c r="J597" s="19" t="str">
        <f t="array" ref="J597">IF($I597="","",IFERROR(INDEX(Legend!$C$41:$C$45,MATCH($I597,Legend!$B$41:$B$45,0)),""))</f>
        <v/>
      </c>
      <c r="K597" s="19"/>
    </row>
    <row r="598" ht="15.75" customHeight="1">
      <c r="A598" s="18">
        <v>594.0</v>
      </c>
      <c r="B598" s="19" t="s">
        <v>937</v>
      </c>
      <c r="C598" s="19" t="s">
        <v>1960</v>
      </c>
      <c r="D598" s="19" t="s">
        <v>1973</v>
      </c>
      <c r="E598" s="53" t="s">
        <v>42</v>
      </c>
      <c r="F598" s="48" t="s">
        <v>77</v>
      </c>
      <c r="G598" s="37" t="s">
        <v>49</v>
      </c>
      <c r="H598" s="39" t="s">
        <v>1974</v>
      </c>
      <c r="I598" s="19"/>
      <c r="J598" s="19" t="str">
        <f t="array" ref="J598">IF($I598="","",IFERROR(INDEX(Legend!$C$41:$C$45,MATCH($I598,Legend!$B$41:$B$45,0)),""))</f>
        <v/>
      </c>
      <c r="K598" s="19"/>
    </row>
    <row r="599" ht="15.75" customHeight="1">
      <c r="A599" s="18">
        <v>595.0</v>
      </c>
      <c r="B599" s="19" t="s">
        <v>937</v>
      </c>
      <c r="C599" s="19" t="s">
        <v>1960</v>
      </c>
      <c r="D599" s="19" t="s">
        <v>1975</v>
      </c>
      <c r="E599" s="53" t="s">
        <v>42</v>
      </c>
      <c r="F599" s="48" t="s">
        <v>77</v>
      </c>
      <c r="G599" s="37" t="s">
        <v>49</v>
      </c>
      <c r="H599" s="39" t="s">
        <v>1976</v>
      </c>
      <c r="I599" s="19"/>
      <c r="J599" s="19" t="str">
        <f t="array" ref="J599">IF($I599="","",IFERROR(INDEX(Legend!$C$41:$C$45,MATCH($I599,Legend!$B$41:$B$45,0)),""))</f>
        <v/>
      </c>
      <c r="K599" s="19"/>
    </row>
    <row r="600" ht="15.75" customHeight="1">
      <c r="A600" s="18">
        <v>596.0</v>
      </c>
      <c r="B600" s="19" t="s">
        <v>937</v>
      </c>
      <c r="C600" s="19" t="s">
        <v>1960</v>
      </c>
      <c r="D600" s="19" t="s">
        <v>1977</v>
      </c>
      <c r="E600" s="53" t="s">
        <v>42</v>
      </c>
      <c r="F600" s="48" t="s">
        <v>77</v>
      </c>
      <c r="G600" s="37" t="s">
        <v>49</v>
      </c>
      <c r="H600" s="39"/>
      <c r="I600" s="19"/>
      <c r="J600" s="19" t="str">
        <f t="array" ref="J600">IF($I600="","",IFERROR(INDEX(Legend!$C$41:$C$45,MATCH($I600,Legend!$B$41:$B$45,0)),""))</f>
        <v/>
      </c>
      <c r="K600" s="19"/>
    </row>
    <row r="601" ht="15.75" customHeight="1">
      <c r="A601" s="18">
        <v>597.0</v>
      </c>
      <c r="B601" s="19" t="s">
        <v>937</v>
      </c>
      <c r="C601" s="19" t="s">
        <v>1960</v>
      </c>
      <c r="D601" s="19" t="s">
        <v>1978</v>
      </c>
      <c r="E601" s="53" t="s">
        <v>42</v>
      </c>
      <c r="F601" s="31" t="s">
        <v>34</v>
      </c>
      <c r="G601" s="46" t="s">
        <v>50</v>
      </c>
      <c r="H601" s="39"/>
      <c r="I601" s="19"/>
      <c r="J601" s="19" t="str">
        <f t="array" ref="J601">IF($I601="","",IFERROR(INDEX(Legend!$C$41:$C$45,MATCH($I601,Legend!$B$41:$B$45,0)),""))</f>
        <v/>
      </c>
      <c r="K601" s="19"/>
    </row>
    <row r="602" ht="15.75" customHeight="1">
      <c r="A602" s="18">
        <v>598.0</v>
      </c>
      <c r="B602" s="19" t="s">
        <v>937</v>
      </c>
      <c r="C602" s="19" t="s">
        <v>1960</v>
      </c>
      <c r="D602" s="19" t="s">
        <v>1979</v>
      </c>
      <c r="E602" s="53" t="s">
        <v>42</v>
      </c>
      <c r="F602" s="31" t="s">
        <v>34</v>
      </c>
      <c r="G602" s="46" t="s">
        <v>50</v>
      </c>
      <c r="H602" s="39"/>
      <c r="I602" s="19"/>
      <c r="J602" s="19" t="str">
        <f t="array" ref="J602">IF($I602="","",IFERROR(INDEX(Legend!$C$41:$C$45,MATCH($I602,Legend!$B$41:$B$45,0)),""))</f>
        <v/>
      </c>
      <c r="K602" s="19"/>
    </row>
    <row r="603" ht="15.75" customHeight="1">
      <c r="A603" s="18">
        <v>599.0</v>
      </c>
      <c r="B603" s="19" t="s">
        <v>937</v>
      </c>
      <c r="C603" s="19" t="s">
        <v>1960</v>
      </c>
      <c r="D603" s="19" t="s">
        <v>1980</v>
      </c>
      <c r="E603" s="53" t="s">
        <v>42</v>
      </c>
      <c r="F603" s="31" t="s">
        <v>34</v>
      </c>
      <c r="G603" s="46" t="s">
        <v>50</v>
      </c>
      <c r="H603" s="39"/>
      <c r="I603" s="19"/>
      <c r="J603" s="19" t="str">
        <f t="array" ref="J603">IF($I603="","",IFERROR(INDEX(Legend!$C$41:$C$45,MATCH($I603,Legend!$B$41:$B$45,0)),""))</f>
        <v/>
      </c>
      <c r="K603" s="19"/>
    </row>
    <row r="604" ht="15.75" customHeight="1">
      <c r="A604" s="18">
        <v>600.0</v>
      </c>
      <c r="B604" s="19" t="s">
        <v>937</v>
      </c>
      <c r="C604" s="19" t="s">
        <v>1981</v>
      </c>
      <c r="D604" s="19" t="s">
        <v>1982</v>
      </c>
      <c r="E604" s="53" t="s">
        <v>42</v>
      </c>
      <c r="F604" s="31" t="s">
        <v>34</v>
      </c>
      <c r="G604" s="37" t="s">
        <v>49</v>
      </c>
      <c r="H604" s="39"/>
      <c r="I604" s="19"/>
      <c r="J604" s="19" t="str">
        <f t="array" ref="J604">IF($I604="","",IFERROR(INDEX(Legend!$C$41:$C$45,MATCH($I604,Legend!$B$41:$B$45,0)),""))</f>
        <v/>
      </c>
      <c r="K604" s="19"/>
    </row>
    <row r="605" ht="15.75" customHeight="1">
      <c r="A605" s="18">
        <v>601.0</v>
      </c>
      <c r="B605" s="19" t="s">
        <v>937</v>
      </c>
      <c r="C605" s="19" t="s">
        <v>1981</v>
      </c>
      <c r="D605" s="19" t="s">
        <v>1983</v>
      </c>
      <c r="E605" s="53" t="s">
        <v>42</v>
      </c>
      <c r="F605" s="48" t="s">
        <v>77</v>
      </c>
      <c r="G605" s="37" t="s">
        <v>49</v>
      </c>
      <c r="H605" s="39" t="s">
        <v>1984</v>
      </c>
      <c r="I605" s="19"/>
      <c r="J605" s="19" t="str">
        <f t="array" ref="J605">IF($I605="","",IFERROR(INDEX(Legend!$C$41:$C$45,MATCH($I605,Legend!$B$41:$B$45,0)),""))</f>
        <v/>
      </c>
      <c r="K605" s="19"/>
    </row>
    <row r="606" ht="15.75" customHeight="1">
      <c r="A606" s="18">
        <v>602.0</v>
      </c>
      <c r="B606" s="19" t="s">
        <v>937</v>
      </c>
      <c r="C606" s="19" t="s">
        <v>1981</v>
      </c>
      <c r="D606" s="19" t="s">
        <v>1985</v>
      </c>
      <c r="E606" s="53" t="s">
        <v>42</v>
      </c>
      <c r="F606" s="48" t="s">
        <v>77</v>
      </c>
      <c r="G606" s="37" t="s">
        <v>49</v>
      </c>
      <c r="H606" s="39" t="s">
        <v>1906</v>
      </c>
      <c r="I606" s="19"/>
      <c r="J606" s="19" t="str">
        <f t="array" ref="J606">IF($I606="","",IFERROR(INDEX(Legend!$C$41:$C$45,MATCH($I606,Legend!$B$41:$B$45,0)),""))</f>
        <v/>
      </c>
      <c r="K606" s="19"/>
    </row>
    <row r="607" ht="15.75" customHeight="1">
      <c r="A607" s="18">
        <v>603.0</v>
      </c>
      <c r="B607" s="19" t="s">
        <v>937</v>
      </c>
      <c r="C607" s="19" t="s">
        <v>1981</v>
      </c>
      <c r="D607" s="19" t="s">
        <v>1986</v>
      </c>
      <c r="E607" s="53" t="s">
        <v>42</v>
      </c>
      <c r="F607" s="31" t="s">
        <v>34</v>
      </c>
      <c r="G607" s="37" t="s">
        <v>49</v>
      </c>
      <c r="H607" s="39"/>
      <c r="I607" s="19"/>
      <c r="J607" s="19" t="str">
        <f t="array" ref="J607">IF($I607="","",IFERROR(INDEX(Legend!$C$41:$C$45,MATCH($I607,Legend!$B$41:$B$45,0)),""))</f>
        <v/>
      </c>
      <c r="K607" s="19"/>
    </row>
    <row r="608" ht="15.75" customHeight="1">
      <c r="A608" s="18">
        <v>604.0</v>
      </c>
      <c r="B608" s="19" t="s">
        <v>937</v>
      </c>
      <c r="C608" s="19" t="s">
        <v>1981</v>
      </c>
      <c r="D608" s="19" t="s">
        <v>1987</v>
      </c>
      <c r="E608" s="53" t="s">
        <v>42</v>
      </c>
      <c r="F608" s="31" t="s">
        <v>34</v>
      </c>
      <c r="G608" s="46" t="s">
        <v>50</v>
      </c>
      <c r="H608" s="39"/>
      <c r="I608" s="19"/>
      <c r="J608" s="19" t="str">
        <f t="array" ref="J608">IF($I608="","",IFERROR(INDEX(Legend!$C$41:$C$45,MATCH($I608,Legend!$B$41:$B$45,0)),""))</f>
        <v/>
      </c>
      <c r="K608" s="19"/>
    </row>
    <row r="609" ht="15.75" customHeight="1">
      <c r="A609" s="18">
        <v>605.0</v>
      </c>
      <c r="B609" s="19" t="s">
        <v>937</v>
      </c>
      <c r="C609" s="19" t="s">
        <v>1981</v>
      </c>
      <c r="D609" s="19" t="s">
        <v>1988</v>
      </c>
      <c r="E609" s="53" t="s">
        <v>42</v>
      </c>
      <c r="F609" s="48" t="s">
        <v>77</v>
      </c>
      <c r="G609" s="37" t="s">
        <v>49</v>
      </c>
      <c r="H609" s="39"/>
      <c r="I609" s="19"/>
      <c r="J609" s="19" t="str">
        <f t="array" ref="J609">IF($I609="","",IFERROR(INDEX(Legend!$C$41:$C$45,MATCH($I609,Legend!$B$41:$B$45,0)),""))</f>
        <v/>
      </c>
      <c r="K609" s="19"/>
    </row>
    <row r="610" ht="15.75" customHeight="1">
      <c r="A610" s="18">
        <v>606.0</v>
      </c>
      <c r="B610" s="19" t="s">
        <v>937</v>
      </c>
      <c r="C610" s="19" t="s">
        <v>1981</v>
      </c>
      <c r="D610" s="19" t="s">
        <v>1989</v>
      </c>
      <c r="E610" s="53" t="s">
        <v>42</v>
      </c>
      <c r="F610" s="48" t="s">
        <v>77</v>
      </c>
      <c r="G610" s="37" t="s">
        <v>49</v>
      </c>
      <c r="H610" s="39" t="s">
        <v>1990</v>
      </c>
      <c r="I610" s="19"/>
      <c r="J610" s="19" t="str">
        <f t="array" ref="J610">IF($I610="","",IFERROR(INDEX(Legend!$C$41:$C$45,MATCH($I610,Legend!$B$41:$B$45,0)),""))</f>
        <v/>
      </c>
      <c r="K610" s="19"/>
    </row>
    <row r="611" ht="15.75" customHeight="1">
      <c r="A611" s="18">
        <v>607.0</v>
      </c>
      <c r="B611" s="19" t="s">
        <v>937</v>
      </c>
      <c r="C611" s="19" t="s">
        <v>1981</v>
      </c>
      <c r="D611" s="19" t="s">
        <v>1991</v>
      </c>
      <c r="E611" s="53" t="s">
        <v>42</v>
      </c>
      <c r="F611" s="54" t="s">
        <v>46</v>
      </c>
      <c r="G611" s="46" t="s">
        <v>50</v>
      </c>
      <c r="H611" s="39" t="s">
        <v>1992</v>
      </c>
      <c r="I611" s="19"/>
      <c r="J611" s="19" t="str">
        <f t="array" ref="J611">IF($I611="","",IFERROR(INDEX(Legend!$C$41:$C$45,MATCH($I611,Legend!$B$41:$B$45,0)),""))</f>
        <v/>
      </c>
      <c r="K611" s="19"/>
    </row>
    <row r="612" ht="15.75" customHeight="1">
      <c r="A612" s="18">
        <v>608.0</v>
      </c>
      <c r="B612" s="19" t="s">
        <v>937</v>
      </c>
      <c r="C612" s="19" t="s">
        <v>1981</v>
      </c>
      <c r="D612" s="19" t="s">
        <v>1993</v>
      </c>
      <c r="E612" s="53" t="s">
        <v>42</v>
      </c>
      <c r="F612" s="31" t="s">
        <v>34</v>
      </c>
      <c r="G612" s="37" t="s">
        <v>49</v>
      </c>
      <c r="H612" s="39" t="s">
        <v>1994</v>
      </c>
      <c r="I612" s="19"/>
      <c r="J612" s="19" t="str">
        <f t="array" ref="J612">IF($I612="","",IFERROR(INDEX(Legend!$C$41:$C$45,MATCH($I612,Legend!$B$41:$B$45,0)),""))</f>
        <v/>
      </c>
      <c r="K612" s="19"/>
    </row>
    <row r="613" ht="15.75" customHeight="1">
      <c r="A613" s="18">
        <v>609.0</v>
      </c>
      <c r="B613" s="19" t="s">
        <v>937</v>
      </c>
      <c r="C613" s="19" t="s">
        <v>1981</v>
      </c>
      <c r="D613" s="19" t="s">
        <v>1995</v>
      </c>
      <c r="E613" s="53" t="s">
        <v>42</v>
      </c>
      <c r="F613" s="31" t="s">
        <v>34</v>
      </c>
      <c r="G613" s="37" t="s">
        <v>49</v>
      </c>
      <c r="H613" s="39"/>
      <c r="I613" s="19"/>
      <c r="J613" s="19" t="str">
        <f t="array" ref="J613">IF($I613="","",IFERROR(INDEX(Legend!$C$41:$C$45,MATCH($I613,Legend!$B$41:$B$45,0)),""))</f>
        <v/>
      </c>
      <c r="K613" s="19"/>
    </row>
    <row r="614" ht="15.75" customHeight="1">
      <c r="A614" s="18">
        <v>610.0</v>
      </c>
      <c r="B614" s="19" t="s">
        <v>937</v>
      </c>
      <c r="C614" s="19" t="s">
        <v>1981</v>
      </c>
      <c r="D614" s="19" t="s">
        <v>1996</v>
      </c>
      <c r="E614" s="53" t="s">
        <v>42</v>
      </c>
      <c r="F614" s="48" t="s">
        <v>77</v>
      </c>
      <c r="G614" s="37" t="s">
        <v>49</v>
      </c>
      <c r="H614" s="39" t="s">
        <v>1997</v>
      </c>
      <c r="I614" s="19"/>
      <c r="J614" s="19" t="str">
        <f t="array" ref="J614">IF($I614="","",IFERROR(INDEX(Legend!$C$41:$C$45,MATCH($I614,Legend!$B$41:$B$45,0)),""))</f>
        <v/>
      </c>
      <c r="K614" s="19"/>
    </row>
    <row r="615" ht="15.75" customHeight="1">
      <c r="A615" s="18">
        <v>611.0</v>
      </c>
      <c r="B615" s="19" t="s">
        <v>937</v>
      </c>
      <c r="C615" s="19" t="s">
        <v>1981</v>
      </c>
      <c r="D615" s="19" t="s">
        <v>1998</v>
      </c>
      <c r="E615" s="53" t="s">
        <v>42</v>
      </c>
      <c r="F615" s="31" t="s">
        <v>34</v>
      </c>
      <c r="G615" s="46" t="s">
        <v>50</v>
      </c>
      <c r="H615" s="39"/>
      <c r="I615" s="19"/>
      <c r="J615" s="19" t="str">
        <f t="array" ref="J615">IF($I615="","",IFERROR(INDEX(Legend!$C$41:$C$45,MATCH($I615,Legend!$B$41:$B$45,0)),""))</f>
        <v/>
      </c>
      <c r="K615" s="19"/>
    </row>
    <row r="616" ht="15.75" customHeight="1">
      <c r="A616" s="18">
        <v>612.0</v>
      </c>
      <c r="B616" s="19" t="s">
        <v>937</v>
      </c>
      <c r="C616" s="19" t="s">
        <v>1981</v>
      </c>
      <c r="D616" s="19" t="s">
        <v>1999</v>
      </c>
      <c r="E616" s="53" t="s">
        <v>42</v>
      </c>
      <c r="F616" s="54" t="s">
        <v>46</v>
      </c>
      <c r="G616" s="61" t="s">
        <v>47</v>
      </c>
      <c r="H616" s="39"/>
      <c r="I616" s="19"/>
      <c r="J616" s="19" t="str">
        <f t="array" ref="J616">IF($I616="","",IFERROR(INDEX(Legend!$C$41:$C$45,MATCH($I616,Legend!$B$41:$B$45,0)),""))</f>
        <v/>
      </c>
      <c r="K616" s="19"/>
    </row>
    <row r="617" ht="15.75" customHeight="1">
      <c r="A617" s="18">
        <v>613.0</v>
      </c>
      <c r="B617" s="19" t="s">
        <v>937</v>
      </c>
      <c r="C617" s="19" t="s">
        <v>1902</v>
      </c>
      <c r="D617" s="19" t="s">
        <v>2000</v>
      </c>
      <c r="E617" s="53" t="s">
        <v>42</v>
      </c>
      <c r="F617" s="31" t="s">
        <v>34</v>
      </c>
      <c r="G617" s="46" t="s">
        <v>50</v>
      </c>
      <c r="H617" s="39" t="s">
        <v>2001</v>
      </c>
      <c r="I617" s="19"/>
      <c r="J617" s="19" t="str">
        <f t="array" ref="J617">IF($I617="","",IFERROR(INDEX(Legend!$C$41:$C$45,MATCH($I617,Legend!$B$41:$B$45,0)),""))</f>
        <v/>
      </c>
      <c r="K617" s="19"/>
    </row>
    <row r="618" ht="15.75" customHeight="1">
      <c r="A618" s="18">
        <v>614.0</v>
      </c>
      <c r="B618" s="19" t="s">
        <v>937</v>
      </c>
      <c r="C618" s="19" t="s">
        <v>1902</v>
      </c>
      <c r="D618" s="19" t="s">
        <v>2002</v>
      </c>
      <c r="E618" s="53" t="s">
        <v>42</v>
      </c>
      <c r="F618" s="54" t="s">
        <v>46</v>
      </c>
      <c r="G618" s="37" t="s">
        <v>49</v>
      </c>
      <c r="H618" s="39" t="s">
        <v>2003</v>
      </c>
      <c r="I618" s="19"/>
      <c r="J618" s="19" t="str">
        <f t="array" ref="J618">IF($I618="","",IFERROR(INDEX(Legend!$C$41:$C$45,MATCH($I618,Legend!$B$41:$B$45,0)),""))</f>
        <v/>
      </c>
      <c r="K618" s="19"/>
    </row>
    <row r="619" ht="15.75" customHeight="1">
      <c r="A619" s="18">
        <v>615.0</v>
      </c>
      <c r="B619" s="19" t="s">
        <v>937</v>
      </c>
      <c r="C619" s="19" t="s">
        <v>1902</v>
      </c>
      <c r="D619" s="19" t="s">
        <v>2004</v>
      </c>
      <c r="E619" s="53" t="s">
        <v>42</v>
      </c>
      <c r="F619" s="48" t="s">
        <v>77</v>
      </c>
      <c r="G619" s="37" t="s">
        <v>49</v>
      </c>
      <c r="H619" s="39" t="s">
        <v>2005</v>
      </c>
      <c r="I619" s="19"/>
      <c r="J619" s="19" t="str">
        <f t="array" ref="J619">IF($I619="","",IFERROR(INDEX(Legend!$C$41:$C$45,MATCH($I619,Legend!$B$41:$B$45,0)),""))</f>
        <v/>
      </c>
      <c r="K619" s="19"/>
    </row>
    <row r="620" ht="15.75" customHeight="1">
      <c r="A620" s="18">
        <v>616.0</v>
      </c>
      <c r="B620" s="19" t="s">
        <v>937</v>
      </c>
      <c r="C620" s="19" t="s">
        <v>1938</v>
      </c>
      <c r="D620" s="19" t="s">
        <v>2006</v>
      </c>
      <c r="E620" s="53" t="s">
        <v>42</v>
      </c>
      <c r="F620" s="54" t="s">
        <v>46</v>
      </c>
      <c r="G620" s="46" t="s">
        <v>50</v>
      </c>
      <c r="H620" s="39" t="s">
        <v>2007</v>
      </c>
      <c r="I620" s="19"/>
      <c r="J620" s="19" t="str">
        <f t="array" ref="J620">IF($I620="","",IFERROR(INDEX(Legend!$C$41:$C$45,MATCH($I620,Legend!$B$41:$B$45,0)),""))</f>
        <v/>
      </c>
      <c r="K620" s="19"/>
    </row>
    <row r="621" ht="15.75" customHeight="1">
      <c r="A621" s="18">
        <v>617.0</v>
      </c>
      <c r="B621" s="19" t="s">
        <v>937</v>
      </c>
      <c r="C621" s="19" t="s">
        <v>1938</v>
      </c>
      <c r="D621" s="19" t="s">
        <v>2008</v>
      </c>
      <c r="E621" s="53" t="s">
        <v>42</v>
      </c>
      <c r="F621" s="54" t="s">
        <v>46</v>
      </c>
      <c r="G621" s="46" t="s">
        <v>50</v>
      </c>
      <c r="H621" s="39" t="s">
        <v>2009</v>
      </c>
      <c r="I621" s="19"/>
      <c r="J621" s="19" t="str">
        <f t="array" ref="J621">IF($I621="","",IFERROR(INDEX(Legend!$C$41:$C$45,MATCH($I621,Legend!$B$41:$B$45,0)),""))</f>
        <v/>
      </c>
      <c r="K621" s="19"/>
    </row>
    <row r="622" ht="15.75" customHeight="1">
      <c r="A622" s="18">
        <v>618.0</v>
      </c>
      <c r="B622" s="19" t="s">
        <v>937</v>
      </c>
      <c r="C622" s="19" t="s">
        <v>1960</v>
      </c>
      <c r="D622" s="19" t="s">
        <v>2010</v>
      </c>
      <c r="E622" s="53" t="s">
        <v>42</v>
      </c>
      <c r="F622" s="48" t="s">
        <v>77</v>
      </c>
      <c r="G622" s="37" t="s">
        <v>49</v>
      </c>
      <c r="H622" s="39" t="s">
        <v>2011</v>
      </c>
      <c r="I622" s="19"/>
      <c r="J622" s="19" t="str">
        <f t="array" ref="J622">IF($I622="","",IFERROR(INDEX(Legend!$C$41:$C$45,MATCH($I622,Legend!$B$41:$B$45,0)),""))</f>
        <v/>
      </c>
      <c r="K622" s="19"/>
    </row>
    <row r="623" ht="15.75" customHeight="1">
      <c r="A623" s="18">
        <v>619.0</v>
      </c>
      <c r="B623" s="19" t="s">
        <v>937</v>
      </c>
      <c r="C623" s="19" t="s">
        <v>1960</v>
      </c>
      <c r="D623" s="19" t="s">
        <v>2012</v>
      </c>
      <c r="E623" s="53" t="s">
        <v>42</v>
      </c>
      <c r="F623" s="31" t="s">
        <v>34</v>
      </c>
      <c r="G623" s="46" t="s">
        <v>50</v>
      </c>
      <c r="H623" s="39" t="s">
        <v>2013</v>
      </c>
      <c r="I623" s="19"/>
      <c r="J623" s="19" t="str">
        <f t="array" ref="J623">IF($I623="","",IFERROR(INDEX(Legend!$C$41:$C$45,MATCH($I623,Legend!$B$41:$B$45,0)),""))</f>
        <v/>
      </c>
      <c r="K623" s="19"/>
    </row>
    <row r="624" ht="15.75" customHeight="1">
      <c r="A624" s="18">
        <v>620.0</v>
      </c>
      <c r="B624" s="19" t="s">
        <v>937</v>
      </c>
      <c r="C624" s="19" t="s">
        <v>1981</v>
      </c>
      <c r="D624" s="19" t="s">
        <v>2014</v>
      </c>
      <c r="E624" s="53" t="s">
        <v>42</v>
      </c>
      <c r="F624" s="54" t="s">
        <v>46</v>
      </c>
      <c r="G624" s="37" t="s">
        <v>49</v>
      </c>
      <c r="H624" s="39" t="s">
        <v>2015</v>
      </c>
      <c r="I624" s="19"/>
      <c r="J624" s="19" t="str">
        <f t="array" ref="J624">IF($I624="","",IFERROR(INDEX(Legend!$C$41:$C$45,MATCH($I624,Legend!$B$41:$B$45,0)),""))</f>
        <v/>
      </c>
      <c r="K624" s="19"/>
    </row>
    <row r="625" ht="15.75" customHeight="1">
      <c r="A625" s="18">
        <v>621.0</v>
      </c>
      <c r="B625" s="19" t="s">
        <v>937</v>
      </c>
      <c r="C625" s="19" t="s">
        <v>1981</v>
      </c>
      <c r="D625" s="19" t="s">
        <v>2016</v>
      </c>
      <c r="E625" s="53" t="s">
        <v>42</v>
      </c>
      <c r="F625" s="54" t="s">
        <v>46</v>
      </c>
      <c r="G625" s="46" t="s">
        <v>50</v>
      </c>
      <c r="H625" s="39" t="s">
        <v>2017</v>
      </c>
      <c r="I625" s="19"/>
      <c r="J625" s="19" t="str">
        <f t="array" ref="J625">IF($I625="","",IFERROR(INDEX(Legend!$C$41:$C$45,MATCH($I625,Legend!$B$41:$B$45,0)),""))</f>
        <v/>
      </c>
      <c r="K625" s="19"/>
    </row>
    <row r="626" ht="15.75" customHeight="1">
      <c r="A626" s="18">
        <v>622.0</v>
      </c>
      <c r="B626" s="19" t="s">
        <v>937</v>
      </c>
      <c r="C626" s="19" t="s">
        <v>1981</v>
      </c>
      <c r="D626" s="19" t="s">
        <v>2018</v>
      </c>
      <c r="E626" s="53" t="s">
        <v>42</v>
      </c>
      <c r="F626" s="54" t="s">
        <v>46</v>
      </c>
      <c r="G626" s="46" t="s">
        <v>50</v>
      </c>
      <c r="H626" s="39" t="s">
        <v>2019</v>
      </c>
      <c r="I626" s="19"/>
      <c r="J626" s="19" t="str">
        <f t="array" ref="J626">IF($I626="","",IFERROR(INDEX(Legend!$C$41:$C$45,MATCH($I626,Legend!$B$41:$B$45,0)),""))</f>
        <v/>
      </c>
      <c r="K626" s="19"/>
    </row>
    <row r="627" ht="15.75" customHeight="1">
      <c r="A627" s="18">
        <v>623.0</v>
      </c>
      <c r="B627" s="19" t="s">
        <v>937</v>
      </c>
      <c r="C627" s="19" t="s">
        <v>1981</v>
      </c>
      <c r="D627" s="19" t="s">
        <v>2020</v>
      </c>
      <c r="E627" s="53" t="s">
        <v>42</v>
      </c>
      <c r="F627" s="54" t="s">
        <v>46</v>
      </c>
      <c r="G627" s="46" t="s">
        <v>50</v>
      </c>
      <c r="H627" s="39" t="s">
        <v>2021</v>
      </c>
      <c r="I627" s="19"/>
      <c r="J627" s="19" t="str">
        <f t="array" ref="J627">IF($I627="","",IFERROR(INDEX(Legend!$C$41:$C$45,MATCH($I627,Legend!$B$41:$B$45,0)),""))</f>
        <v/>
      </c>
      <c r="K627" s="19"/>
    </row>
    <row r="628" ht="15.75" customHeight="1">
      <c r="A628" s="18">
        <v>624.0</v>
      </c>
      <c r="B628" s="19" t="s">
        <v>937</v>
      </c>
      <c r="C628" s="19" t="s">
        <v>1981</v>
      </c>
      <c r="D628" s="19" t="s">
        <v>2022</v>
      </c>
      <c r="E628" s="53" t="s">
        <v>42</v>
      </c>
      <c r="F628" s="31" t="s">
        <v>34</v>
      </c>
      <c r="G628" s="37" t="s">
        <v>49</v>
      </c>
      <c r="H628" s="39" t="s">
        <v>2023</v>
      </c>
      <c r="I628" s="19"/>
      <c r="J628" s="19" t="str">
        <f t="array" ref="J628">IF($I628="","",IFERROR(INDEX(Legend!$C$41:$C$45,MATCH($I628,Legend!$B$41:$B$45,0)),""))</f>
        <v/>
      </c>
      <c r="K628" s="19"/>
    </row>
    <row r="629" ht="15.75" customHeight="1">
      <c r="A629" s="18">
        <v>625.0</v>
      </c>
      <c r="B629" s="19" t="s">
        <v>937</v>
      </c>
      <c r="C629" s="19" t="s">
        <v>1981</v>
      </c>
      <c r="D629" s="19" t="s">
        <v>2024</v>
      </c>
      <c r="E629" s="53" t="s">
        <v>42</v>
      </c>
      <c r="F629" s="31" t="s">
        <v>34</v>
      </c>
      <c r="G629" s="37" t="s">
        <v>49</v>
      </c>
      <c r="H629" s="39" t="s">
        <v>2025</v>
      </c>
      <c r="I629" s="19"/>
      <c r="J629" s="19" t="str">
        <f t="array" ref="J629">IF($I629="","",IFERROR(INDEX(Legend!$C$41:$C$45,MATCH($I629,Legend!$B$41:$B$45,0)),""))</f>
        <v/>
      </c>
      <c r="K629" s="19"/>
    </row>
    <row r="630" ht="15.75" customHeight="1">
      <c r="A630" s="18">
        <v>626.0</v>
      </c>
      <c r="B630" s="19" t="s">
        <v>945</v>
      </c>
      <c r="C630" s="19" t="s">
        <v>2026</v>
      </c>
      <c r="D630" s="19" t="s">
        <v>2027</v>
      </c>
      <c r="E630" s="20" t="s">
        <v>33</v>
      </c>
      <c r="F630" s="31" t="s">
        <v>34</v>
      </c>
      <c r="G630" s="37" t="s">
        <v>49</v>
      </c>
      <c r="H630" s="39"/>
      <c r="I630" s="19"/>
      <c r="J630" s="19" t="str">
        <f t="array" ref="J630">IF($I630="","",IFERROR(INDEX(Legend!$C$41:$C$45,MATCH($I630,Legend!$B$41:$B$45,0)),""))</f>
        <v/>
      </c>
      <c r="K630" s="19"/>
    </row>
    <row r="631" ht="15.75" customHeight="1">
      <c r="A631" s="18">
        <v>627.0</v>
      </c>
      <c r="B631" s="19" t="s">
        <v>945</v>
      </c>
      <c r="C631" s="19" t="s">
        <v>2026</v>
      </c>
      <c r="D631" s="19" t="s">
        <v>2028</v>
      </c>
      <c r="E631" s="20" t="s">
        <v>33</v>
      </c>
      <c r="F631" s="31" t="s">
        <v>34</v>
      </c>
      <c r="G631" s="37" t="s">
        <v>49</v>
      </c>
      <c r="H631" s="39"/>
      <c r="I631" s="19"/>
      <c r="J631" s="19" t="str">
        <f t="array" ref="J631">IF($I631="","",IFERROR(INDEX(Legend!$C$41:$C$45,MATCH($I631,Legend!$B$41:$B$45,0)),""))</f>
        <v/>
      </c>
      <c r="K631" s="19"/>
    </row>
    <row r="632" ht="15.75" customHeight="1">
      <c r="A632" s="18">
        <v>628.0</v>
      </c>
      <c r="B632" s="19" t="s">
        <v>945</v>
      </c>
      <c r="C632" s="19" t="s">
        <v>2026</v>
      </c>
      <c r="D632" s="19" t="s">
        <v>2029</v>
      </c>
      <c r="E632" s="53" t="s">
        <v>42</v>
      </c>
      <c r="F632" s="31" t="s">
        <v>34</v>
      </c>
      <c r="G632" s="46" t="s">
        <v>50</v>
      </c>
      <c r="H632" s="39"/>
      <c r="I632" s="19"/>
      <c r="J632" s="19" t="str">
        <f t="array" ref="J632">IF($I632="","",IFERROR(INDEX(Legend!$C$41:$C$45,MATCH($I632,Legend!$B$41:$B$45,0)),""))</f>
        <v/>
      </c>
      <c r="K632" s="19"/>
    </row>
    <row r="633" ht="15.75" customHeight="1">
      <c r="A633" s="18">
        <v>629.0</v>
      </c>
      <c r="B633" s="19" t="s">
        <v>945</v>
      </c>
      <c r="C633" s="19" t="s">
        <v>2026</v>
      </c>
      <c r="D633" s="19" t="s">
        <v>2030</v>
      </c>
      <c r="E633" s="20" t="s">
        <v>33</v>
      </c>
      <c r="F633" s="31" t="s">
        <v>34</v>
      </c>
      <c r="G633" s="37" t="s">
        <v>49</v>
      </c>
      <c r="H633" s="39"/>
      <c r="I633" s="19"/>
      <c r="J633" s="19" t="str">
        <f t="array" ref="J633">IF($I633="","",IFERROR(INDEX(Legend!$C$41:$C$45,MATCH($I633,Legend!$B$41:$B$45,0)),""))</f>
        <v/>
      </c>
      <c r="K633" s="19"/>
    </row>
    <row r="634" ht="15.75" customHeight="1">
      <c r="A634" s="18">
        <v>630.0</v>
      </c>
      <c r="B634" s="19" t="s">
        <v>945</v>
      </c>
      <c r="C634" s="19" t="s">
        <v>2026</v>
      </c>
      <c r="D634" s="19" t="s">
        <v>2031</v>
      </c>
      <c r="E634" s="53" t="s">
        <v>42</v>
      </c>
      <c r="F634" s="48" t="s">
        <v>77</v>
      </c>
      <c r="G634" s="37" t="s">
        <v>49</v>
      </c>
      <c r="H634" s="39" t="s">
        <v>2032</v>
      </c>
      <c r="I634" s="19"/>
      <c r="J634" s="19" t="str">
        <f t="array" ref="J634">IF($I634="","",IFERROR(INDEX(Legend!$C$41:$C$45,MATCH($I634,Legend!$B$41:$B$45,0)),""))</f>
        <v/>
      </c>
      <c r="K634" s="19"/>
    </row>
    <row r="635" ht="15.75" customHeight="1">
      <c r="A635" s="18">
        <v>631.0</v>
      </c>
      <c r="B635" s="19" t="s">
        <v>945</v>
      </c>
      <c r="C635" s="19" t="s">
        <v>2026</v>
      </c>
      <c r="D635" s="19" t="s">
        <v>2033</v>
      </c>
      <c r="E635" s="53" t="s">
        <v>42</v>
      </c>
      <c r="F635" s="48" t="s">
        <v>77</v>
      </c>
      <c r="G635" s="46" t="s">
        <v>50</v>
      </c>
      <c r="H635" s="39"/>
      <c r="I635" s="19"/>
      <c r="J635" s="19" t="str">
        <f t="array" ref="J635">IF($I635="","",IFERROR(INDEX(Legend!$C$41:$C$45,MATCH($I635,Legend!$B$41:$B$45,0)),""))</f>
        <v/>
      </c>
      <c r="K635" s="19"/>
    </row>
    <row r="636" ht="15.75" customHeight="1">
      <c r="A636" s="18">
        <v>632.0</v>
      </c>
      <c r="B636" s="19" t="s">
        <v>945</v>
      </c>
      <c r="C636" s="19" t="s">
        <v>2026</v>
      </c>
      <c r="D636" s="19" t="s">
        <v>2034</v>
      </c>
      <c r="E636" s="53" t="s">
        <v>42</v>
      </c>
      <c r="F636" s="31" t="s">
        <v>34</v>
      </c>
      <c r="G636" s="37" t="s">
        <v>49</v>
      </c>
      <c r="H636" s="39" t="s">
        <v>2035</v>
      </c>
      <c r="I636" s="19"/>
      <c r="J636" s="19" t="str">
        <f t="array" ref="J636">IF($I636="","",IFERROR(INDEX(Legend!$C$41:$C$45,MATCH($I636,Legend!$B$41:$B$45,0)),""))</f>
        <v/>
      </c>
      <c r="K636" s="19"/>
    </row>
    <row r="637" ht="15.75" customHeight="1">
      <c r="A637" s="18">
        <v>633.0</v>
      </c>
      <c r="B637" s="19" t="s">
        <v>945</v>
      </c>
      <c r="C637" s="19" t="s">
        <v>2026</v>
      </c>
      <c r="D637" s="19" t="s">
        <v>2036</v>
      </c>
      <c r="E637" s="20" t="s">
        <v>33</v>
      </c>
      <c r="F637" s="48" t="s">
        <v>77</v>
      </c>
      <c r="G637" s="37" t="s">
        <v>49</v>
      </c>
      <c r="H637" s="39" t="s">
        <v>2037</v>
      </c>
      <c r="I637" s="19"/>
      <c r="J637" s="19" t="str">
        <f t="array" ref="J637">IF($I637="","",IFERROR(INDEX(Legend!$C$41:$C$45,MATCH($I637,Legend!$B$41:$B$45,0)),""))</f>
        <v/>
      </c>
      <c r="K637" s="19"/>
    </row>
    <row r="638" ht="15.75" customHeight="1">
      <c r="A638" s="18">
        <v>634.0</v>
      </c>
      <c r="B638" s="19" t="s">
        <v>945</v>
      </c>
      <c r="C638" s="19" t="s">
        <v>2026</v>
      </c>
      <c r="D638" s="19" t="s">
        <v>2038</v>
      </c>
      <c r="E638" s="53" t="s">
        <v>42</v>
      </c>
      <c r="F638" s="31" t="s">
        <v>34</v>
      </c>
      <c r="G638" s="46" t="s">
        <v>50</v>
      </c>
      <c r="H638" s="39"/>
      <c r="I638" s="19"/>
      <c r="J638" s="19" t="str">
        <f t="array" ref="J638">IF($I638="","",IFERROR(INDEX(Legend!$C$41:$C$45,MATCH($I638,Legend!$B$41:$B$45,0)),""))</f>
        <v/>
      </c>
      <c r="K638" s="19"/>
    </row>
    <row r="639" ht="15.75" customHeight="1">
      <c r="A639" s="18">
        <v>635.0</v>
      </c>
      <c r="B639" s="19" t="s">
        <v>945</v>
      </c>
      <c r="C639" s="19" t="s">
        <v>2026</v>
      </c>
      <c r="D639" s="19" t="s">
        <v>2039</v>
      </c>
      <c r="E639" s="53" t="s">
        <v>42</v>
      </c>
      <c r="F639" s="31" t="s">
        <v>34</v>
      </c>
      <c r="G639" s="37" t="s">
        <v>49</v>
      </c>
      <c r="H639" s="39"/>
      <c r="I639" s="19"/>
      <c r="J639" s="19" t="str">
        <f t="array" ref="J639">IF($I639="","",IFERROR(INDEX(Legend!$C$41:$C$45,MATCH($I639,Legend!$B$41:$B$45,0)),""))</f>
        <v/>
      </c>
      <c r="K639" s="19"/>
    </row>
    <row r="640" ht="15.75" customHeight="1">
      <c r="A640" s="18">
        <v>636.0</v>
      </c>
      <c r="B640" s="19" t="s">
        <v>945</v>
      </c>
      <c r="C640" s="19" t="s">
        <v>2026</v>
      </c>
      <c r="D640" s="19" t="s">
        <v>2040</v>
      </c>
      <c r="E640" s="53" t="s">
        <v>42</v>
      </c>
      <c r="F640" s="48" t="s">
        <v>77</v>
      </c>
      <c r="G640" s="37" t="s">
        <v>49</v>
      </c>
      <c r="H640" s="39" t="s">
        <v>2041</v>
      </c>
      <c r="I640" s="19"/>
      <c r="J640" s="19" t="str">
        <f t="array" ref="J640">IF($I640="","",IFERROR(INDEX(Legend!$C$41:$C$45,MATCH($I640,Legend!$B$41:$B$45,0)),""))</f>
        <v/>
      </c>
      <c r="K640" s="19"/>
    </row>
    <row r="641" ht="15.75" customHeight="1">
      <c r="A641" s="18">
        <v>637.0</v>
      </c>
      <c r="B641" s="19" t="s">
        <v>945</v>
      </c>
      <c r="C641" s="19" t="s">
        <v>2026</v>
      </c>
      <c r="D641" s="19" t="s">
        <v>2042</v>
      </c>
      <c r="E641" s="53" t="s">
        <v>42</v>
      </c>
      <c r="F641" s="48" t="s">
        <v>77</v>
      </c>
      <c r="G641" s="37" t="s">
        <v>49</v>
      </c>
      <c r="H641" s="39" t="s">
        <v>2043</v>
      </c>
      <c r="I641" s="19"/>
      <c r="J641" s="19" t="str">
        <f t="array" ref="J641">IF($I641="","",IFERROR(INDEX(Legend!$C$41:$C$45,MATCH($I641,Legend!$B$41:$B$45,0)),""))</f>
        <v/>
      </c>
      <c r="K641" s="19"/>
    </row>
    <row r="642" ht="15.75" customHeight="1">
      <c r="A642" s="18">
        <v>638.0</v>
      </c>
      <c r="B642" s="19" t="s">
        <v>945</v>
      </c>
      <c r="C642" s="19" t="s">
        <v>2026</v>
      </c>
      <c r="D642" s="19" t="s">
        <v>2044</v>
      </c>
      <c r="E642" s="53" t="s">
        <v>42</v>
      </c>
      <c r="F642" s="31" t="s">
        <v>34</v>
      </c>
      <c r="G642" s="46" t="s">
        <v>50</v>
      </c>
      <c r="H642" s="39"/>
      <c r="I642" s="19"/>
      <c r="J642" s="19" t="str">
        <f t="array" ref="J642">IF($I642="","",IFERROR(INDEX(Legend!$C$41:$C$45,MATCH($I642,Legend!$B$41:$B$45,0)),""))</f>
        <v/>
      </c>
      <c r="K642" s="19"/>
    </row>
    <row r="643" ht="15.75" customHeight="1">
      <c r="A643" s="18">
        <v>639.0</v>
      </c>
      <c r="B643" s="19" t="s">
        <v>945</v>
      </c>
      <c r="C643" s="19" t="s">
        <v>2026</v>
      </c>
      <c r="D643" s="19" t="s">
        <v>2045</v>
      </c>
      <c r="E643" s="53" t="s">
        <v>42</v>
      </c>
      <c r="F643" s="31" t="s">
        <v>34</v>
      </c>
      <c r="G643" s="46" t="s">
        <v>50</v>
      </c>
      <c r="H643" s="39" t="s">
        <v>2046</v>
      </c>
      <c r="I643" s="19"/>
      <c r="J643" s="19" t="str">
        <f t="array" ref="J643">IF($I643="","",IFERROR(INDEX(Legend!$C$41:$C$45,MATCH($I643,Legend!$B$41:$B$45,0)),""))</f>
        <v/>
      </c>
      <c r="K643" s="19"/>
    </row>
    <row r="644" ht="15.75" customHeight="1">
      <c r="A644" s="18">
        <v>640.0</v>
      </c>
      <c r="B644" s="19" t="s">
        <v>945</v>
      </c>
      <c r="C644" s="19" t="s">
        <v>2026</v>
      </c>
      <c r="D644" s="19" t="s">
        <v>2047</v>
      </c>
      <c r="E644" s="53" t="s">
        <v>42</v>
      </c>
      <c r="F644" s="31" t="s">
        <v>34</v>
      </c>
      <c r="G644" s="46" t="s">
        <v>50</v>
      </c>
      <c r="H644" s="39" t="s">
        <v>2048</v>
      </c>
      <c r="I644" s="19"/>
      <c r="J644" s="19" t="str">
        <f t="array" ref="J644">IF($I644="","",IFERROR(INDEX(Legend!$C$41:$C$45,MATCH($I644,Legend!$B$41:$B$45,0)),""))</f>
        <v/>
      </c>
      <c r="K644" s="19"/>
    </row>
    <row r="645" ht="15.75" customHeight="1">
      <c r="A645" s="18">
        <v>641.0</v>
      </c>
      <c r="B645" s="19" t="s">
        <v>945</v>
      </c>
      <c r="C645" s="19" t="s">
        <v>2026</v>
      </c>
      <c r="D645" s="19" t="s">
        <v>2049</v>
      </c>
      <c r="E645" s="20" t="s">
        <v>33</v>
      </c>
      <c r="F645" s="31" t="s">
        <v>34</v>
      </c>
      <c r="G645" s="37" t="s">
        <v>49</v>
      </c>
      <c r="H645" s="39"/>
      <c r="I645" s="19"/>
      <c r="J645" s="19" t="str">
        <f t="array" ref="J645">IF($I645="","",IFERROR(INDEX(Legend!$C$41:$C$45,MATCH($I645,Legend!$B$41:$B$45,0)),""))</f>
        <v/>
      </c>
      <c r="K645" s="19"/>
    </row>
    <row r="646" ht="15.75" customHeight="1">
      <c r="A646" s="18">
        <v>642.0</v>
      </c>
      <c r="B646" s="19" t="s">
        <v>945</v>
      </c>
      <c r="C646" s="19" t="s">
        <v>2026</v>
      </c>
      <c r="D646" s="19" t="s">
        <v>2050</v>
      </c>
      <c r="E646" s="53" t="s">
        <v>42</v>
      </c>
      <c r="F646" s="31" t="s">
        <v>34</v>
      </c>
      <c r="G646" s="46" t="s">
        <v>50</v>
      </c>
      <c r="H646" s="39"/>
      <c r="I646" s="19"/>
      <c r="J646" s="19" t="str">
        <f t="array" ref="J646">IF($I646="","",IFERROR(INDEX(Legend!$C$41:$C$45,MATCH($I646,Legend!$B$41:$B$45,0)),""))</f>
        <v/>
      </c>
      <c r="K646" s="19"/>
    </row>
    <row r="647" ht="15.75" customHeight="1">
      <c r="A647" s="18">
        <v>643.0</v>
      </c>
      <c r="B647" s="19" t="s">
        <v>945</v>
      </c>
      <c r="C647" s="19" t="s">
        <v>2026</v>
      </c>
      <c r="D647" s="19" t="s">
        <v>2051</v>
      </c>
      <c r="E647" s="53" t="s">
        <v>42</v>
      </c>
      <c r="F647" s="54" t="s">
        <v>46</v>
      </c>
      <c r="G647" s="61" t="s">
        <v>47</v>
      </c>
      <c r="H647" s="39" t="s">
        <v>2052</v>
      </c>
      <c r="I647" s="19"/>
      <c r="J647" s="19" t="str">
        <f t="array" ref="J647">IF($I647="","",IFERROR(INDEX(Legend!$C$41:$C$45,MATCH($I647,Legend!$B$41:$B$45,0)),""))</f>
        <v/>
      </c>
      <c r="K647" s="19"/>
    </row>
    <row r="648" ht="15.75" customHeight="1">
      <c r="A648" s="18">
        <v>644.0</v>
      </c>
      <c r="B648" s="19" t="s">
        <v>945</v>
      </c>
      <c r="C648" s="19" t="s">
        <v>2026</v>
      </c>
      <c r="D648" s="19" t="s">
        <v>2053</v>
      </c>
      <c r="E648" s="53" t="s">
        <v>42</v>
      </c>
      <c r="F648" s="31" t="s">
        <v>34</v>
      </c>
      <c r="G648" s="46" t="s">
        <v>50</v>
      </c>
      <c r="H648" s="39"/>
      <c r="I648" s="19"/>
      <c r="J648" s="19" t="str">
        <f t="array" ref="J648">IF($I648="","",IFERROR(INDEX(Legend!$C$41:$C$45,MATCH($I648,Legend!$B$41:$B$45,0)),""))</f>
        <v/>
      </c>
      <c r="K648" s="19"/>
    </row>
    <row r="649" ht="15.75" customHeight="1">
      <c r="A649" s="18">
        <v>645.0</v>
      </c>
      <c r="B649" s="19" t="s">
        <v>945</v>
      </c>
      <c r="C649" s="19" t="s">
        <v>2026</v>
      </c>
      <c r="D649" s="19" t="s">
        <v>2054</v>
      </c>
      <c r="E649" s="53" t="s">
        <v>42</v>
      </c>
      <c r="F649" s="48" t="s">
        <v>77</v>
      </c>
      <c r="G649" s="46" t="s">
        <v>50</v>
      </c>
      <c r="H649" s="39" t="s">
        <v>2055</v>
      </c>
      <c r="I649" s="19"/>
      <c r="J649" s="19" t="str">
        <f t="array" ref="J649">IF($I649="","",IFERROR(INDEX(Legend!$C$41:$C$45,MATCH($I649,Legend!$B$41:$B$45,0)),""))</f>
        <v/>
      </c>
      <c r="K649" s="19"/>
    </row>
    <row r="650" ht="15.75" customHeight="1">
      <c r="A650" s="18">
        <v>646.0</v>
      </c>
      <c r="B650" s="19" t="s">
        <v>945</v>
      </c>
      <c r="C650" s="19" t="s">
        <v>2026</v>
      </c>
      <c r="D650" s="19" t="s">
        <v>2056</v>
      </c>
      <c r="E650" s="53" t="s">
        <v>42</v>
      </c>
      <c r="F650" s="48" t="s">
        <v>77</v>
      </c>
      <c r="G650" s="37" t="s">
        <v>49</v>
      </c>
      <c r="H650" s="39"/>
      <c r="I650" s="19"/>
      <c r="J650" s="19" t="str">
        <f t="array" ref="J650">IF($I650="","",IFERROR(INDEX(Legend!$C$41:$C$45,MATCH($I650,Legend!$B$41:$B$45,0)),""))</f>
        <v/>
      </c>
      <c r="K650" s="19"/>
    </row>
    <row r="651" ht="15.75" customHeight="1">
      <c r="A651" s="18">
        <v>647.0</v>
      </c>
      <c r="B651" s="19" t="s">
        <v>945</v>
      </c>
      <c r="C651" s="19" t="s">
        <v>2026</v>
      </c>
      <c r="D651" s="19" t="s">
        <v>2057</v>
      </c>
      <c r="E651" s="53" t="s">
        <v>42</v>
      </c>
      <c r="F651" s="31" t="s">
        <v>34</v>
      </c>
      <c r="G651" s="37" t="s">
        <v>49</v>
      </c>
      <c r="H651" s="39" t="s">
        <v>2058</v>
      </c>
      <c r="I651" s="19"/>
      <c r="J651" s="19" t="str">
        <f t="array" ref="J651">IF($I651="","",IFERROR(INDEX(Legend!$C$41:$C$45,MATCH($I651,Legend!$B$41:$B$45,0)),""))</f>
        <v/>
      </c>
      <c r="K651" s="19"/>
    </row>
    <row r="652" ht="15.75" customHeight="1">
      <c r="A652" s="18">
        <v>648.0</v>
      </c>
      <c r="B652" s="19" t="s">
        <v>945</v>
      </c>
      <c r="C652" s="19" t="s">
        <v>2026</v>
      </c>
      <c r="D652" s="19" t="s">
        <v>2059</v>
      </c>
      <c r="E652" s="53" t="s">
        <v>42</v>
      </c>
      <c r="F652" s="31" t="s">
        <v>34</v>
      </c>
      <c r="G652" s="46" t="s">
        <v>50</v>
      </c>
      <c r="H652" s="39"/>
      <c r="I652" s="19"/>
      <c r="J652" s="19" t="str">
        <f t="array" ref="J652">IF($I652="","",IFERROR(INDEX(Legend!$C$41:$C$45,MATCH($I652,Legend!$B$41:$B$45,0)),""))</f>
        <v/>
      </c>
      <c r="K652" s="19"/>
    </row>
    <row r="653" ht="15.75" customHeight="1">
      <c r="A653" s="18">
        <v>649.0</v>
      </c>
      <c r="B653" s="19" t="s">
        <v>945</v>
      </c>
      <c r="C653" s="19" t="s">
        <v>2026</v>
      </c>
      <c r="D653" s="19" t="s">
        <v>2060</v>
      </c>
      <c r="E653" s="53" t="s">
        <v>42</v>
      </c>
      <c r="F653" s="54" t="s">
        <v>46</v>
      </c>
      <c r="G653" s="61" t="s">
        <v>47</v>
      </c>
      <c r="H653" s="39"/>
      <c r="I653" s="19"/>
      <c r="J653" s="19" t="str">
        <f t="array" ref="J653">IF($I653="","",IFERROR(INDEX(Legend!$C$41:$C$45,MATCH($I653,Legend!$B$41:$B$45,0)),""))</f>
        <v/>
      </c>
      <c r="K653" s="19"/>
    </row>
    <row r="654" ht="15.75" customHeight="1">
      <c r="A654" s="18">
        <v>650.0</v>
      </c>
      <c r="B654" s="19" t="s">
        <v>945</v>
      </c>
      <c r="C654" s="19" t="s">
        <v>2026</v>
      </c>
      <c r="D654" s="19" t="s">
        <v>2061</v>
      </c>
      <c r="E654" s="48" t="s">
        <v>43</v>
      </c>
      <c r="F654" s="54" t="s">
        <v>46</v>
      </c>
      <c r="G654" s="61" t="s">
        <v>47</v>
      </c>
      <c r="H654" s="39" t="s">
        <v>488</v>
      </c>
      <c r="I654" s="19"/>
      <c r="J654" s="19" t="str">
        <f t="array" ref="J654">IF($I654="","",IFERROR(INDEX(Legend!$C$41:$C$45,MATCH($I654,Legend!$B$41:$B$45,0)),""))</f>
        <v/>
      </c>
      <c r="K654" s="19"/>
    </row>
    <row r="655" ht="15.75" customHeight="1">
      <c r="A655" s="18">
        <v>651.0</v>
      </c>
      <c r="B655" s="19" t="s">
        <v>945</v>
      </c>
      <c r="C655" s="19" t="s">
        <v>2062</v>
      </c>
      <c r="D655" s="19" t="s">
        <v>2063</v>
      </c>
      <c r="E655" s="20" t="s">
        <v>33</v>
      </c>
      <c r="F655" s="31" t="s">
        <v>34</v>
      </c>
      <c r="G655" s="37" t="s">
        <v>49</v>
      </c>
      <c r="H655" s="39"/>
      <c r="I655" s="19"/>
      <c r="J655" s="19" t="str">
        <f t="array" ref="J655">IF($I655="","",IFERROR(INDEX(Legend!$C$41:$C$45,MATCH($I655,Legend!$B$41:$B$45,0)),""))</f>
        <v/>
      </c>
      <c r="K655" s="19"/>
    </row>
    <row r="656" ht="15.75" customHeight="1">
      <c r="A656" s="18">
        <v>652.0</v>
      </c>
      <c r="B656" s="19" t="s">
        <v>945</v>
      </c>
      <c r="C656" s="19" t="s">
        <v>2062</v>
      </c>
      <c r="D656" s="19" t="s">
        <v>2064</v>
      </c>
      <c r="E656" s="53" t="s">
        <v>42</v>
      </c>
      <c r="F656" s="31" t="s">
        <v>34</v>
      </c>
      <c r="G656" s="46" t="s">
        <v>50</v>
      </c>
      <c r="H656" s="39"/>
      <c r="I656" s="19"/>
      <c r="J656" s="19" t="str">
        <f t="array" ref="J656">IF($I656="","",IFERROR(INDEX(Legend!$C$41:$C$45,MATCH($I656,Legend!$B$41:$B$45,0)),""))</f>
        <v/>
      </c>
      <c r="K656" s="19"/>
    </row>
    <row r="657" ht="15.75" customHeight="1">
      <c r="A657" s="18">
        <v>653.0</v>
      </c>
      <c r="B657" s="19" t="s">
        <v>945</v>
      </c>
      <c r="C657" s="19" t="s">
        <v>2062</v>
      </c>
      <c r="D657" s="19" t="s">
        <v>2065</v>
      </c>
      <c r="E657" s="53" t="s">
        <v>42</v>
      </c>
      <c r="F657" s="31" t="s">
        <v>34</v>
      </c>
      <c r="G657" s="37" t="s">
        <v>49</v>
      </c>
      <c r="H657" s="39"/>
      <c r="I657" s="19"/>
      <c r="J657" s="19" t="str">
        <f t="array" ref="J657">IF($I657="","",IFERROR(INDEX(Legend!$C$41:$C$45,MATCH($I657,Legend!$B$41:$B$45,0)),""))</f>
        <v/>
      </c>
      <c r="K657" s="19"/>
    </row>
    <row r="658" ht="15.75" customHeight="1">
      <c r="A658" s="18">
        <v>654.0</v>
      </c>
      <c r="B658" s="19" t="s">
        <v>945</v>
      </c>
      <c r="C658" s="19" t="s">
        <v>2062</v>
      </c>
      <c r="D658" s="19" t="s">
        <v>2066</v>
      </c>
      <c r="E658" s="53" t="s">
        <v>42</v>
      </c>
      <c r="F658" s="31" t="s">
        <v>34</v>
      </c>
      <c r="G658" s="46" t="s">
        <v>50</v>
      </c>
      <c r="H658" s="39"/>
      <c r="I658" s="19"/>
      <c r="J658" s="19" t="str">
        <f t="array" ref="J658">IF($I658="","",IFERROR(INDEX(Legend!$C$41:$C$45,MATCH($I658,Legend!$B$41:$B$45,0)),""))</f>
        <v/>
      </c>
      <c r="K658" s="19"/>
    </row>
    <row r="659" ht="15.75" customHeight="1">
      <c r="A659" s="18">
        <v>655.0</v>
      </c>
      <c r="B659" s="19" t="s">
        <v>945</v>
      </c>
      <c r="C659" s="19" t="s">
        <v>2062</v>
      </c>
      <c r="D659" s="19" t="s">
        <v>2067</v>
      </c>
      <c r="E659" s="53" t="s">
        <v>42</v>
      </c>
      <c r="F659" s="31" t="s">
        <v>34</v>
      </c>
      <c r="G659" s="37" t="s">
        <v>49</v>
      </c>
      <c r="H659" s="39"/>
      <c r="I659" s="19"/>
      <c r="J659" s="19" t="str">
        <f t="array" ref="J659">IF($I659="","",IFERROR(INDEX(Legend!$C$41:$C$45,MATCH($I659,Legend!$B$41:$B$45,0)),""))</f>
        <v/>
      </c>
      <c r="K659" s="19"/>
    </row>
    <row r="660" ht="15.75" customHeight="1">
      <c r="A660" s="18">
        <v>656.0</v>
      </c>
      <c r="B660" s="19" t="s">
        <v>945</v>
      </c>
      <c r="C660" s="19" t="s">
        <v>2062</v>
      </c>
      <c r="D660" s="19" t="s">
        <v>2068</v>
      </c>
      <c r="E660" s="53" t="s">
        <v>42</v>
      </c>
      <c r="F660" s="48" t="s">
        <v>77</v>
      </c>
      <c r="G660" s="46" t="s">
        <v>50</v>
      </c>
      <c r="H660" s="39"/>
      <c r="I660" s="19"/>
      <c r="J660" s="19" t="str">
        <f t="array" ref="J660">IF($I660="","",IFERROR(INDEX(Legend!$C$41:$C$45,MATCH($I660,Legend!$B$41:$B$45,0)),""))</f>
        <v/>
      </c>
      <c r="K660" s="19"/>
    </row>
    <row r="661" ht="15.75" customHeight="1">
      <c r="A661" s="18">
        <v>657.0</v>
      </c>
      <c r="B661" s="19" t="s">
        <v>945</v>
      </c>
      <c r="C661" s="19" t="s">
        <v>2062</v>
      </c>
      <c r="D661" s="19" t="s">
        <v>2069</v>
      </c>
      <c r="E661" s="53" t="s">
        <v>42</v>
      </c>
      <c r="F661" s="31" t="s">
        <v>34</v>
      </c>
      <c r="G661" s="46" t="s">
        <v>50</v>
      </c>
      <c r="H661" s="39"/>
      <c r="I661" s="19"/>
      <c r="J661" s="19" t="str">
        <f t="array" ref="J661">IF($I661="","",IFERROR(INDEX(Legend!$C$41:$C$45,MATCH($I661,Legend!$B$41:$B$45,0)),""))</f>
        <v/>
      </c>
      <c r="K661" s="19"/>
    </row>
    <row r="662" ht="15.75" customHeight="1">
      <c r="A662" s="18">
        <v>658.0</v>
      </c>
      <c r="B662" s="19" t="s">
        <v>945</v>
      </c>
      <c r="C662" s="19" t="s">
        <v>2070</v>
      </c>
      <c r="D662" s="19" t="s">
        <v>2071</v>
      </c>
      <c r="E662" s="20" t="s">
        <v>33</v>
      </c>
      <c r="F662" s="48" t="s">
        <v>77</v>
      </c>
      <c r="G662" s="37" t="s">
        <v>49</v>
      </c>
      <c r="H662" s="39"/>
      <c r="I662" s="19"/>
      <c r="J662" s="19" t="str">
        <f t="array" ref="J662">IF($I662="","",IFERROR(INDEX(Legend!$C$41:$C$45,MATCH($I662,Legend!$B$41:$B$45,0)),""))</f>
        <v/>
      </c>
      <c r="K662" s="19"/>
    </row>
    <row r="663" ht="15.75" customHeight="1">
      <c r="A663" s="18">
        <v>659.0</v>
      </c>
      <c r="B663" s="19" t="s">
        <v>945</v>
      </c>
      <c r="C663" s="19" t="s">
        <v>2070</v>
      </c>
      <c r="D663" s="19" t="s">
        <v>2072</v>
      </c>
      <c r="E663" s="20" t="s">
        <v>33</v>
      </c>
      <c r="F663" s="48" t="s">
        <v>77</v>
      </c>
      <c r="G663" s="37" t="s">
        <v>49</v>
      </c>
      <c r="H663" s="39" t="s">
        <v>2073</v>
      </c>
      <c r="I663" s="19"/>
      <c r="J663" s="19" t="str">
        <f t="array" ref="J663">IF($I663="","",IFERROR(INDEX(Legend!$C$41:$C$45,MATCH($I663,Legend!$B$41:$B$45,0)),""))</f>
        <v/>
      </c>
      <c r="K663" s="19"/>
    </row>
    <row r="664" ht="15.75" customHeight="1">
      <c r="A664" s="18">
        <v>660.0</v>
      </c>
      <c r="B664" s="19" t="s">
        <v>945</v>
      </c>
      <c r="C664" s="19" t="s">
        <v>2070</v>
      </c>
      <c r="D664" s="19" t="s">
        <v>2074</v>
      </c>
      <c r="E664" s="53" t="s">
        <v>42</v>
      </c>
      <c r="F664" s="48" t="s">
        <v>77</v>
      </c>
      <c r="G664" s="37" t="s">
        <v>49</v>
      </c>
      <c r="H664" s="39" t="s">
        <v>2075</v>
      </c>
      <c r="I664" s="19"/>
      <c r="J664" s="19" t="str">
        <f t="array" ref="J664">IF($I664="","",IFERROR(INDEX(Legend!$C$41:$C$45,MATCH($I664,Legend!$B$41:$B$45,0)),""))</f>
        <v/>
      </c>
      <c r="K664" s="19"/>
    </row>
    <row r="665" ht="15.75" customHeight="1">
      <c r="A665" s="18">
        <v>661.0</v>
      </c>
      <c r="B665" s="19" t="s">
        <v>945</v>
      </c>
      <c r="C665" s="19" t="s">
        <v>2070</v>
      </c>
      <c r="D665" s="19" t="s">
        <v>2076</v>
      </c>
      <c r="E665" s="53" t="s">
        <v>42</v>
      </c>
      <c r="F665" s="48" t="s">
        <v>77</v>
      </c>
      <c r="G665" s="37" t="s">
        <v>49</v>
      </c>
      <c r="H665" s="39"/>
      <c r="I665" s="19"/>
      <c r="J665" s="19" t="str">
        <f t="array" ref="J665">IF($I665="","",IFERROR(INDEX(Legend!$C$41:$C$45,MATCH($I665,Legend!$B$41:$B$45,0)),""))</f>
        <v/>
      </c>
      <c r="K665" s="19"/>
    </row>
    <row r="666" ht="15.75" customHeight="1">
      <c r="A666" s="18">
        <v>662.0</v>
      </c>
      <c r="B666" s="19" t="s">
        <v>945</v>
      </c>
      <c r="C666" s="19" t="s">
        <v>2070</v>
      </c>
      <c r="D666" s="19" t="s">
        <v>2077</v>
      </c>
      <c r="E666" s="53" t="s">
        <v>42</v>
      </c>
      <c r="F666" s="48" t="s">
        <v>77</v>
      </c>
      <c r="G666" s="46" t="s">
        <v>50</v>
      </c>
      <c r="H666" s="39" t="s">
        <v>2078</v>
      </c>
      <c r="I666" s="19"/>
      <c r="J666" s="19" t="str">
        <f t="array" ref="J666">IF($I666="","",IFERROR(INDEX(Legend!$C$41:$C$45,MATCH($I666,Legend!$B$41:$B$45,0)),""))</f>
        <v/>
      </c>
      <c r="K666" s="19"/>
    </row>
    <row r="667" ht="15.75" customHeight="1">
      <c r="A667" s="18">
        <v>663.0</v>
      </c>
      <c r="B667" s="19" t="s">
        <v>945</v>
      </c>
      <c r="C667" s="19" t="s">
        <v>2070</v>
      </c>
      <c r="D667" s="19" t="s">
        <v>2079</v>
      </c>
      <c r="E667" s="53" t="s">
        <v>42</v>
      </c>
      <c r="F667" s="31" t="s">
        <v>34</v>
      </c>
      <c r="G667" s="46" t="s">
        <v>50</v>
      </c>
      <c r="H667" s="39"/>
      <c r="I667" s="19"/>
      <c r="J667" s="19" t="str">
        <f t="array" ref="J667">IF($I667="","",IFERROR(INDEX(Legend!$C$41:$C$45,MATCH($I667,Legend!$B$41:$B$45,0)),""))</f>
        <v/>
      </c>
      <c r="K667" s="19"/>
    </row>
    <row r="668" ht="15.75" customHeight="1">
      <c r="A668" s="18">
        <v>664.0</v>
      </c>
      <c r="B668" s="19" t="s">
        <v>945</v>
      </c>
      <c r="C668" s="19" t="s">
        <v>2070</v>
      </c>
      <c r="D668" s="19" t="s">
        <v>2080</v>
      </c>
      <c r="E668" s="53" t="s">
        <v>42</v>
      </c>
      <c r="F668" s="48" t="s">
        <v>77</v>
      </c>
      <c r="G668" s="46" t="s">
        <v>50</v>
      </c>
      <c r="H668" s="39" t="s">
        <v>2081</v>
      </c>
      <c r="I668" s="19"/>
      <c r="J668" s="19" t="str">
        <f t="array" ref="J668">IF($I668="","",IFERROR(INDEX(Legend!$C$41:$C$45,MATCH($I668,Legend!$B$41:$B$45,0)),""))</f>
        <v/>
      </c>
      <c r="K668" s="19"/>
    </row>
    <row r="669" ht="15.75" customHeight="1">
      <c r="A669" s="18">
        <v>665.0</v>
      </c>
      <c r="B669" s="19" t="s">
        <v>945</v>
      </c>
      <c r="C669" s="19" t="s">
        <v>2070</v>
      </c>
      <c r="D669" s="19" t="s">
        <v>2082</v>
      </c>
      <c r="E669" s="53" t="s">
        <v>42</v>
      </c>
      <c r="F669" s="31" t="s">
        <v>34</v>
      </c>
      <c r="G669" s="46" t="s">
        <v>50</v>
      </c>
      <c r="H669" s="39"/>
      <c r="I669" s="19"/>
      <c r="J669" s="19" t="str">
        <f t="array" ref="J669">IF($I669="","",IFERROR(INDEX(Legend!$C$41:$C$45,MATCH($I669,Legend!$B$41:$B$45,0)),""))</f>
        <v/>
      </c>
      <c r="K669" s="19"/>
    </row>
    <row r="670" ht="15.75" customHeight="1">
      <c r="A670" s="18">
        <v>666.0</v>
      </c>
      <c r="B670" s="19" t="s">
        <v>945</v>
      </c>
      <c r="C670" s="19" t="s">
        <v>2070</v>
      </c>
      <c r="D670" s="19" t="s">
        <v>2083</v>
      </c>
      <c r="E670" s="53" t="s">
        <v>42</v>
      </c>
      <c r="F670" s="31" t="s">
        <v>34</v>
      </c>
      <c r="G670" s="37" t="s">
        <v>49</v>
      </c>
      <c r="H670" s="39" t="s">
        <v>2084</v>
      </c>
      <c r="I670" s="19"/>
      <c r="J670" s="19" t="str">
        <f t="array" ref="J670">IF($I670="","",IFERROR(INDEX(Legend!$C$41:$C$45,MATCH($I670,Legend!$B$41:$B$45,0)),""))</f>
        <v/>
      </c>
      <c r="K670" s="19"/>
    </row>
    <row r="671" ht="15.75" customHeight="1">
      <c r="A671" s="18">
        <v>667.0</v>
      </c>
      <c r="B671" s="19" t="s">
        <v>945</v>
      </c>
      <c r="C671" s="19" t="s">
        <v>2070</v>
      </c>
      <c r="D671" s="19" t="s">
        <v>2085</v>
      </c>
      <c r="E671" s="53" t="s">
        <v>42</v>
      </c>
      <c r="F671" s="31" t="s">
        <v>34</v>
      </c>
      <c r="G671" s="37" t="s">
        <v>49</v>
      </c>
      <c r="H671" s="39" t="s">
        <v>2086</v>
      </c>
      <c r="I671" s="19"/>
      <c r="J671" s="19" t="str">
        <f t="array" ref="J671">IF($I671="","",IFERROR(INDEX(Legend!$C$41:$C$45,MATCH($I671,Legend!$B$41:$B$45,0)),""))</f>
        <v/>
      </c>
      <c r="K671" s="19"/>
    </row>
    <row r="672" ht="15.75" customHeight="1">
      <c r="A672" s="18">
        <v>668.0</v>
      </c>
      <c r="B672" s="19" t="s">
        <v>945</v>
      </c>
      <c r="C672" s="19" t="s">
        <v>2070</v>
      </c>
      <c r="D672" s="19" t="s">
        <v>2087</v>
      </c>
      <c r="E672" s="53" t="s">
        <v>42</v>
      </c>
      <c r="F672" s="31" t="s">
        <v>34</v>
      </c>
      <c r="G672" s="46" t="s">
        <v>50</v>
      </c>
      <c r="H672" s="39"/>
      <c r="I672" s="19"/>
      <c r="J672" s="19" t="str">
        <f t="array" ref="J672">IF($I672="","",IFERROR(INDEX(Legend!$C$41:$C$45,MATCH($I672,Legend!$B$41:$B$45,0)),""))</f>
        <v/>
      </c>
      <c r="K672" s="19"/>
    </row>
    <row r="673" ht="15.75" customHeight="1">
      <c r="A673" s="18">
        <v>669.0</v>
      </c>
      <c r="B673" s="19" t="s">
        <v>945</v>
      </c>
      <c r="C673" s="19" t="s">
        <v>2070</v>
      </c>
      <c r="D673" s="19" t="s">
        <v>2088</v>
      </c>
      <c r="E673" s="53" t="s">
        <v>42</v>
      </c>
      <c r="F673" s="48" t="s">
        <v>77</v>
      </c>
      <c r="G673" s="37" t="s">
        <v>49</v>
      </c>
      <c r="H673" s="39" t="s">
        <v>2089</v>
      </c>
      <c r="I673" s="19"/>
      <c r="J673" s="19" t="str">
        <f t="array" ref="J673">IF($I673="","",IFERROR(INDEX(Legend!$C$41:$C$45,MATCH($I673,Legend!$B$41:$B$45,0)),""))</f>
        <v/>
      </c>
      <c r="K673" s="19"/>
    </row>
    <row r="674" ht="15.75" customHeight="1">
      <c r="A674" s="18">
        <v>670.0</v>
      </c>
      <c r="B674" s="19" t="s">
        <v>945</v>
      </c>
      <c r="C674" s="19" t="s">
        <v>2070</v>
      </c>
      <c r="D674" s="19" t="s">
        <v>2090</v>
      </c>
      <c r="E674" s="53" t="s">
        <v>42</v>
      </c>
      <c r="F674" s="31" t="s">
        <v>34</v>
      </c>
      <c r="G674" s="37" t="s">
        <v>49</v>
      </c>
      <c r="H674" s="39" t="s">
        <v>2091</v>
      </c>
      <c r="I674" s="19"/>
      <c r="J674" s="19" t="str">
        <f t="array" ref="J674">IF($I674="","",IFERROR(INDEX(Legend!$C$41:$C$45,MATCH($I674,Legend!$B$41:$B$45,0)),""))</f>
        <v/>
      </c>
      <c r="K674" s="19"/>
    </row>
    <row r="675" ht="15.75" customHeight="1">
      <c r="A675" s="18">
        <v>671.0</v>
      </c>
      <c r="B675" s="19" t="s">
        <v>945</v>
      </c>
      <c r="C675" s="19" t="s">
        <v>2070</v>
      </c>
      <c r="D675" s="19" t="s">
        <v>2092</v>
      </c>
      <c r="E675" s="53" t="s">
        <v>42</v>
      </c>
      <c r="F675" s="31" t="s">
        <v>34</v>
      </c>
      <c r="G675" s="37" t="s">
        <v>49</v>
      </c>
      <c r="H675" s="39"/>
      <c r="I675" s="19"/>
      <c r="J675" s="19" t="str">
        <f t="array" ref="J675">IF($I675="","",IFERROR(INDEX(Legend!$C$41:$C$45,MATCH($I675,Legend!$B$41:$B$45,0)),""))</f>
        <v/>
      </c>
      <c r="K675" s="19"/>
    </row>
    <row r="676" ht="15.75" customHeight="1">
      <c r="A676" s="18">
        <v>672.0</v>
      </c>
      <c r="B676" s="19" t="s">
        <v>945</v>
      </c>
      <c r="C676" s="19" t="s">
        <v>2070</v>
      </c>
      <c r="D676" s="19" t="s">
        <v>2093</v>
      </c>
      <c r="E676" s="53" t="s">
        <v>42</v>
      </c>
      <c r="F676" s="48" t="s">
        <v>77</v>
      </c>
      <c r="G676" s="46" t="s">
        <v>50</v>
      </c>
      <c r="H676" s="39"/>
      <c r="I676" s="19"/>
      <c r="J676" s="19" t="str">
        <f t="array" ref="J676">IF($I676="","",IFERROR(INDEX(Legend!$C$41:$C$45,MATCH($I676,Legend!$B$41:$B$45,0)),""))</f>
        <v/>
      </c>
      <c r="K676" s="19"/>
    </row>
    <row r="677" ht="15.75" customHeight="1">
      <c r="A677" s="18">
        <v>673.0</v>
      </c>
      <c r="B677" s="19" t="s">
        <v>945</v>
      </c>
      <c r="C677" s="19" t="s">
        <v>2070</v>
      </c>
      <c r="D677" s="19" t="s">
        <v>2094</v>
      </c>
      <c r="E677" s="53" t="s">
        <v>42</v>
      </c>
      <c r="F677" s="31" t="s">
        <v>34</v>
      </c>
      <c r="G677" s="37" t="s">
        <v>49</v>
      </c>
      <c r="H677" s="39"/>
      <c r="I677" s="19"/>
      <c r="J677" s="19" t="str">
        <f t="array" ref="J677">IF($I677="","",IFERROR(INDEX(Legend!$C$41:$C$45,MATCH($I677,Legend!$B$41:$B$45,0)),""))</f>
        <v/>
      </c>
      <c r="K677" s="19"/>
    </row>
    <row r="678" ht="15.75" customHeight="1">
      <c r="A678" s="18">
        <v>674.0</v>
      </c>
      <c r="B678" s="19" t="s">
        <v>945</v>
      </c>
      <c r="C678" s="19" t="s">
        <v>2070</v>
      </c>
      <c r="D678" s="19" t="s">
        <v>2095</v>
      </c>
      <c r="E678" s="53" t="s">
        <v>42</v>
      </c>
      <c r="F678" s="31" t="s">
        <v>34</v>
      </c>
      <c r="G678" s="37" t="s">
        <v>49</v>
      </c>
      <c r="H678" s="39" t="s">
        <v>2096</v>
      </c>
      <c r="I678" s="19"/>
      <c r="J678" s="19" t="str">
        <f t="array" ref="J678">IF($I678="","",IFERROR(INDEX(Legend!$C$41:$C$45,MATCH($I678,Legend!$B$41:$B$45,0)),""))</f>
        <v/>
      </c>
      <c r="K678" s="19"/>
    </row>
    <row r="679" ht="15.75" customHeight="1">
      <c r="A679" s="18">
        <v>675.0</v>
      </c>
      <c r="B679" s="19" t="s">
        <v>945</v>
      </c>
      <c r="C679" s="19" t="s">
        <v>2070</v>
      </c>
      <c r="D679" s="19" t="s">
        <v>2097</v>
      </c>
      <c r="E679" s="53" t="s">
        <v>42</v>
      </c>
      <c r="F679" s="31" t="s">
        <v>34</v>
      </c>
      <c r="G679" s="46" t="s">
        <v>50</v>
      </c>
      <c r="H679" s="39"/>
      <c r="I679" s="19"/>
      <c r="J679" s="19" t="str">
        <f t="array" ref="J679">IF($I679="","",IFERROR(INDEX(Legend!$C$41:$C$45,MATCH($I679,Legend!$B$41:$B$45,0)),""))</f>
        <v/>
      </c>
      <c r="K679" s="19"/>
    </row>
    <row r="680" ht="15.75" customHeight="1">
      <c r="A680" s="18">
        <v>676.0</v>
      </c>
      <c r="B680" s="19" t="s">
        <v>945</v>
      </c>
      <c r="C680" s="19" t="s">
        <v>2098</v>
      </c>
      <c r="D680" s="19" t="s">
        <v>2099</v>
      </c>
      <c r="E680" s="53" t="s">
        <v>42</v>
      </c>
      <c r="F680" s="31" t="s">
        <v>34</v>
      </c>
      <c r="G680" s="37" t="s">
        <v>49</v>
      </c>
      <c r="H680" s="39" t="s">
        <v>2100</v>
      </c>
      <c r="I680" s="19"/>
      <c r="J680" s="19" t="str">
        <f t="array" ref="J680">IF($I680="","",IFERROR(INDEX(Legend!$C$41:$C$45,MATCH($I680,Legend!$B$41:$B$45,0)),""))</f>
        <v/>
      </c>
      <c r="K680" s="19"/>
    </row>
    <row r="681" ht="15.75" customHeight="1">
      <c r="A681" s="18">
        <v>677.0</v>
      </c>
      <c r="B681" s="19" t="s">
        <v>945</v>
      </c>
      <c r="C681" s="19" t="s">
        <v>2098</v>
      </c>
      <c r="D681" s="19" t="s">
        <v>2101</v>
      </c>
      <c r="E681" s="53" t="s">
        <v>42</v>
      </c>
      <c r="F681" s="48" t="s">
        <v>77</v>
      </c>
      <c r="G681" s="37" t="s">
        <v>49</v>
      </c>
      <c r="H681" s="39"/>
      <c r="I681" s="19"/>
      <c r="J681" s="19" t="str">
        <f t="array" ref="J681">IF($I681="","",IFERROR(INDEX(Legend!$C$41:$C$45,MATCH($I681,Legend!$B$41:$B$45,0)),""))</f>
        <v/>
      </c>
      <c r="K681" s="19"/>
    </row>
    <row r="682" ht="15.75" customHeight="1">
      <c r="A682" s="18">
        <v>678.0</v>
      </c>
      <c r="B682" s="19" t="s">
        <v>945</v>
      </c>
      <c r="C682" s="19" t="s">
        <v>2098</v>
      </c>
      <c r="D682" s="19" t="s">
        <v>2102</v>
      </c>
      <c r="E682" s="53" t="s">
        <v>42</v>
      </c>
      <c r="F682" s="31" t="s">
        <v>34</v>
      </c>
      <c r="G682" s="46" t="s">
        <v>50</v>
      </c>
      <c r="H682" s="39"/>
      <c r="I682" s="19"/>
      <c r="J682" s="19" t="str">
        <f t="array" ref="J682">IF($I682="","",IFERROR(INDEX(Legend!$C$41:$C$45,MATCH($I682,Legend!$B$41:$B$45,0)),""))</f>
        <v/>
      </c>
      <c r="K682" s="19"/>
    </row>
    <row r="683" ht="15.75" customHeight="1">
      <c r="A683" s="18">
        <v>679.0</v>
      </c>
      <c r="B683" s="19" t="s">
        <v>945</v>
      </c>
      <c r="C683" s="19" t="s">
        <v>2098</v>
      </c>
      <c r="D683" s="19" t="s">
        <v>2103</v>
      </c>
      <c r="E683" s="53" t="s">
        <v>42</v>
      </c>
      <c r="F683" s="54" t="s">
        <v>46</v>
      </c>
      <c r="G683" s="61" t="s">
        <v>47</v>
      </c>
      <c r="H683" s="39"/>
      <c r="I683" s="19"/>
      <c r="J683" s="19" t="str">
        <f t="array" ref="J683">IF($I683="","",IFERROR(INDEX(Legend!$C$41:$C$45,MATCH($I683,Legend!$B$41:$B$45,0)),""))</f>
        <v/>
      </c>
      <c r="K683" s="19"/>
    </row>
    <row r="684" ht="15.75" customHeight="1">
      <c r="A684" s="18">
        <v>680.0</v>
      </c>
      <c r="B684" s="19" t="s">
        <v>945</v>
      </c>
      <c r="C684" s="19" t="s">
        <v>2098</v>
      </c>
      <c r="D684" s="19" t="s">
        <v>2104</v>
      </c>
      <c r="E684" s="53" t="s">
        <v>42</v>
      </c>
      <c r="F684" s="31" t="s">
        <v>34</v>
      </c>
      <c r="G684" s="37" t="s">
        <v>49</v>
      </c>
      <c r="H684" s="39" t="s">
        <v>2105</v>
      </c>
      <c r="I684" s="19"/>
      <c r="J684" s="19" t="str">
        <f t="array" ref="J684">IF($I684="","",IFERROR(INDEX(Legend!$C$41:$C$45,MATCH($I684,Legend!$B$41:$B$45,0)),""))</f>
        <v/>
      </c>
      <c r="K684" s="19"/>
    </row>
    <row r="685" ht="15.75" customHeight="1">
      <c r="A685" s="18">
        <v>681.0</v>
      </c>
      <c r="B685" s="19" t="s">
        <v>945</v>
      </c>
      <c r="C685" s="19" t="s">
        <v>2098</v>
      </c>
      <c r="D685" s="19" t="s">
        <v>2106</v>
      </c>
      <c r="E685" s="53" t="s">
        <v>42</v>
      </c>
      <c r="F685" s="31" t="s">
        <v>34</v>
      </c>
      <c r="G685" s="37" t="s">
        <v>49</v>
      </c>
      <c r="H685" s="39" t="s">
        <v>2107</v>
      </c>
      <c r="I685" s="19"/>
      <c r="J685" s="19" t="str">
        <f t="array" ref="J685">IF($I685="","",IFERROR(INDEX(Legend!$C$41:$C$45,MATCH($I685,Legend!$B$41:$B$45,0)),""))</f>
        <v/>
      </c>
      <c r="K685" s="19"/>
    </row>
    <row r="686" ht="15.75" customHeight="1">
      <c r="A686" s="18">
        <v>682.0</v>
      </c>
      <c r="B686" s="19" t="s">
        <v>945</v>
      </c>
      <c r="C686" s="19" t="s">
        <v>2098</v>
      </c>
      <c r="D686" s="19" t="s">
        <v>2108</v>
      </c>
      <c r="E686" s="53" t="s">
        <v>42</v>
      </c>
      <c r="F686" s="31" t="s">
        <v>34</v>
      </c>
      <c r="G686" s="37" t="s">
        <v>49</v>
      </c>
      <c r="H686" s="39"/>
      <c r="I686" s="19"/>
      <c r="J686" s="19" t="str">
        <f t="array" ref="J686">IF($I686="","",IFERROR(INDEX(Legend!$C$41:$C$45,MATCH($I686,Legend!$B$41:$B$45,0)),""))</f>
        <v/>
      </c>
      <c r="K686" s="19"/>
    </row>
    <row r="687" ht="15.75" customHeight="1">
      <c r="A687" s="18">
        <v>683.0</v>
      </c>
      <c r="B687" s="19" t="s">
        <v>945</v>
      </c>
      <c r="C687" s="19" t="s">
        <v>2098</v>
      </c>
      <c r="D687" s="19" t="s">
        <v>2109</v>
      </c>
      <c r="E687" s="53" t="s">
        <v>42</v>
      </c>
      <c r="F687" s="31" t="s">
        <v>34</v>
      </c>
      <c r="G687" s="46" t="s">
        <v>50</v>
      </c>
      <c r="H687" s="39"/>
      <c r="I687" s="19"/>
      <c r="J687" s="19" t="str">
        <f t="array" ref="J687">IF($I687="","",IFERROR(INDEX(Legend!$C$41:$C$45,MATCH($I687,Legend!$B$41:$B$45,0)),""))</f>
        <v/>
      </c>
      <c r="K687" s="19"/>
    </row>
    <row r="688" ht="15.75" customHeight="1">
      <c r="A688" s="18">
        <v>684.0</v>
      </c>
      <c r="B688" s="19" t="s">
        <v>945</v>
      </c>
      <c r="C688" s="19" t="s">
        <v>2098</v>
      </c>
      <c r="D688" s="19" t="s">
        <v>2110</v>
      </c>
      <c r="E688" s="53" t="s">
        <v>42</v>
      </c>
      <c r="F688" s="31" t="s">
        <v>34</v>
      </c>
      <c r="G688" s="46" t="s">
        <v>50</v>
      </c>
      <c r="H688" s="39"/>
      <c r="I688" s="19"/>
      <c r="J688" s="19" t="str">
        <f t="array" ref="J688">IF($I688="","",IFERROR(INDEX(Legend!$C$41:$C$45,MATCH($I688,Legend!$B$41:$B$45,0)),""))</f>
        <v/>
      </c>
      <c r="K688" s="19"/>
    </row>
    <row r="689" ht="15.75" customHeight="1">
      <c r="A689" s="18">
        <v>685.0</v>
      </c>
      <c r="B689" s="19" t="s">
        <v>945</v>
      </c>
      <c r="C689" s="19" t="s">
        <v>2098</v>
      </c>
      <c r="D689" s="19" t="s">
        <v>2111</v>
      </c>
      <c r="E689" s="53" t="s">
        <v>42</v>
      </c>
      <c r="F689" s="31" t="s">
        <v>34</v>
      </c>
      <c r="G689" s="46" t="s">
        <v>50</v>
      </c>
      <c r="H689" s="39" t="s">
        <v>2112</v>
      </c>
      <c r="I689" s="19"/>
      <c r="J689" s="19" t="str">
        <f t="array" ref="J689">IF($I689="","",IFERROR(INDEX(Legend!$C$41:$C$45,MATCH($I689,Legend!$B$41:$B$45,0)),""))</f>
        <v/>
      </c>
      <c r="K689" s="19"/>
    </row>
    <row r="690" ht="15.75" customHeight="1">
      <c r="A690" s="18">
        <v>686.0</v>
      </c>
      <c r="B690" s="19" t="s">
        <v>945</v>
      </c>
      <c r="C690" s="19" t="s">
        <v>2070</v>
      </c>
      <c r="D690" s="19" t="s">
        <v>2113</v>
      </c>
      <c r="E690" s="20" t="s">
        <v>33</v>
      </c>
      <c r="F690" s="54" t="s">
        <v>46</v>
      </c>
      <c r="G690" s="37" t="s">
        <v>49</v>
      </c>
      <c r="H690" s="39" t="s">
        <v>2114</v>
      </c>
      <c r="I690" s="19"/>
      <c r="J690" s="19" t="str">
        <f t="array" ref="J690">IF($I690="","",IFERROR(INDEX(Legend!$C$41:$C$45,MATCH($I690,Legend!$B$41:$B$45,0)),""))</f>
        <v/>
      </c>
      <c r="K690" s="19"/>
    </row>
    <row r="691" ht="15.75" customHeight="1">
      <c r="A691" s="18">
        <v>687.0</v>
      </c>
      <c r="B691" s="19" t="s">
        <v>945</v>
      </c>
      <c r="C691" s="19" t="s">
        <v>2070</v>
      </c>
      <c r="D691" s="19" t="s">
        <v>2115</v>
      </c>
      <c r="E691" s="53" t="s">
        <v>42</v>
      </c>
      <c r="F691" s="48" t="s">
        <v>77</v>
      </c>
      <c r="G691" s="46" t="s">
        <v>50</v>
      </c>
      <c r="H691" s="39" t="s">
        <v>2116</v>
      </c>
      <c r="I691" s="19"/>
      <c r="J691" s="19" t="str">
        <f t="array" ref="J691">IF($I691="","",IFERROR(INDEX(Legend!$C$41:$C$45,MATCH($I691,Legend!$B$41:$B$45,0)),""))</f>
        <v/>
      </c>
      <c r="K691" s="19"/>
    </row>
    <row r="692" ht="15.75" customHeight="1">
      <c r="A692" s="18">
        <v>688.0</v>
      </c>
      <c r="B692" s="19" t="s">
        <v>945</v>
      </c>
      <c r="C692" s="19" t="s">
        <v>2098</v>
      </c>
      <c r="D692" s="19" t="s">
        <v>2117</v>
      </c>
      <c r="E692" s="53" t="s">
        <v>42</v>
      </c>
      <c r="F692" s="54" t="s">
        <v>46</v>
      </c>
      <c r="G692" s="46" t="s">
        <v>50</v>
      </c>
      <c r="H692" s="39" t="s">
        <v>2118</v>
      </c>
      <c r="I692" s="19"/>
      <c r="J692" s="19" t="str">
        <f t="array" ref="J692">IF($I692="","",IFERROR(INDEX(Legend!$C$41:$C$45,MATCH($I692,Legend!$B$41:$B$45,0)),""))</f>
        <v/>
      </c>
      <c r="K692" s="19"/>
    </row>
    <row r="693" ht="15.75" customHeight="1">
      <c r="A693" s="18">
        <v>689.0</v>
      </c>
      <c r="B693" s="19" t="s">
        <v>945</v>
      </c>
      <c r="C693" s="19" t="s">
        <v>2098</v>
      </c>
      <c r="D693" s="19" t="s">
        <v>2119</v>
      </c>
      <c r="E693" s="53" t="s">
        <v>42</v>
      </c>
      <c r="F693" s="48" t="s">
        <v>77</v>
      </c>
      <c r="G693" s="37" t="s">
        <v>49</v>
      </c>
      <c r="H693" s="39" t="s">
        <v>2120</v>
      </c>
      <c r="I693" s="19"/>
      <c r="J693" s="19" t="str">
        <f t="array" ref="J693">IF($I693="","",IFERROR(INDEX(Legend!$C$41:$C$45,MATCH($I693,Legend!$B$41:$B$45,0)),""))</f>
        <v/>
      </c>
      <c r="K693" s="19"/>
    </row>
    <row r="694" ht="15.75" customHeight="1">
      <c r="A694" s="18">
        <v>690.0</v>
      </c>
      <c r="B694" s="19" t="s">
        <v>945</v>
      </c>
      <c r="C694" s="19" t="s">
        <v>2098</v>
      </c>
      <c r="D694" s="19" t="s">
        <v>2121</v>
      </c>
      <c r="E694" s="53" t="s">
        <v>42</v>
      </c>
      <c r="F694" s="48" t="s">
        <v>77</v>
      </c>
      <c r="G694" s="37" t="s">
        <v>49</v>
      </c>
      <c r="H694" s="39" t="s">
        <v>2122</v>
      </c>
      <c r="I694" s="19"/>
      <c r="J694" s="19" t="str">
        <f t="array" ref="J694">IF($I694="","",IFERROR(INDEX(Legend!$C$41:$C$45,MATCH($I694,Legend!$B$41:$B$45,0)),""))</f>
        <v/>
      </c>
      <c r="K694" s="19"/>
    </row>
    <row r="695" ht="15.75" customHeight="1">
      <c r="A695" s="18">
        <v>691.0</v>
      </c>
      <c r="B695" s="19" t="s">
        <v>945</v>
      </c>
      <c r="C695" s="19" t="s">
        <v>2098</v>
      </c>
      <c r="D695" s="19" t="s">
        <v>2123</v>
      </c>
      <c r="E695" s="53" t="s">
        <v>42</v>
      </c>
      <c r="F695" s="48" t="s">
        <v>77</v>
      </c>
      <c r="G695" s="37" t="s">
        <v>49</v>
      </c>
      <c r="H695" s="39" t="s">
        <v>2124</v>
      </c>
      <c r="I695" s="19"/>
      <c r="J695" s="19" t="str">
        <f t="array" ref="J695">IF($I695="","",IFERROR(INDEX(Legend!$C$41:$C$45,MATCH($I695,Legend!$B$41:$B$45,0)),""))</f>
        <v/>
      </c>
      <c r="K695" s="19"/>
    </row>
    <row r="696" ht="15.75" customHeight="1">
      <c r="A696" s="18">
        <v>692.0</v>
      </c>
      <c r="B696" s="19" t="s">
        <v>945</v>
      </c>
      <c r="C696" s="19" t="s">
        <v>2098</v>
      </c>
      <c r="D696" s="19" t="s">
        <v>2125</v>
      </c>
      <c r="E696" s="53" t="s">
        <v>42</v>
      </c>
      <c r="F696" s="31" t="s">
        <v>34</v>
      </c>
      <c r="G696" s="37" t="s">
        <v>49</v>
      </c>
      <c r="H696" s="39" t="s">
        <v>2126</v>
      </c>
      <c r="I696" s="19"/>
      <c r="J696" s="19" t="str">
        <f t="array" ref="J696">IF($I696="","",IFERROR(INDEX(Legend!$C$41:$C$45,MATCH($I696,Legend!$B$41:$B$45,0)),""))</f>
        <v/>
      </c>
      <c r="K696" s="19"/>
    </row>
    <row r="697" ht="15.75" customHeight="1">
      <c r="A697" s="18">
        <v>693.0</v>
      </c>
      <c r="B697" s="19" t="s">
        <v>945</v>
      </c>
      <c r="C697" s="19" t="s">
        <v>2098</v>
      </c>
      <c r="D697" s="19" t="s">
        <v>2127</v>
      </c>
      <c r="E697" s="53" t="s">
        <v>42</v>
      </c>
      <c r="F697" s="31" t="s">
        <v>34</v>
      </c>
      <c r="G697" s="37" t="s">
        <v>49</v>
      </c>
      <c r="H697" s="39" t="s">
        <v>2128</v>
      </c>
      <c r="I697" s="19"/>
      <c r="J697" s="19" t="str">
        <f t="array" ref="J697">IF($I697="","",IFERROR(INDEX(Legend!$C$41:$C$45,MATCH($I697,Legend!$B$41:$B$45,0)),""))</f>
        <v/>
      </c>
      <c r="K697" s="19"/>
    </row>
    <row r="698" ht="15.75" customHeight="1">
      <c r="A698" s="18">
        <v>694.0</v>
      </c>
      <c r="B698" s="19" t="s">
        <v>945</v>
      </c>
      <c r="C698" s="19" t="s">
        <v>2098</v>
      </c>
      <c r="D698" s="19" t="s">
        <v>2129</v>
      </c>
      <c r="E698" s="53" t="s">
        <v>42</v>
      </c>
      <c r="F698" s="31" t="s">
        <v>34</v>
      </c>
      <c r="G698" s="37" t="s">
        <v>49</v>
      </c>
      <c r="H698" s="39" t="s">
        <v>2130</v>
      </c>
      <c r="I698" s="19"/>
      <c r="J698" s="19" t="str">
        <f t="array" ref="J698">IF($I698="","",IFERROR(INDEX(Legend!$C$41:$C$45,MATCH($I698,Legend!$B$41:$B$45,0)),""))</f>
        <v/>
      </c>
      <c r="K698" s="19"/>
    </row>
    <row r="699" ht="15.75" customHeight="1">
      <c r="A699" s="18">
        <v>695.0</v>
      </c>
      <c r="B699" s="19" t="s">
        <v>945</v>
      </c>
      <c r="C699" s="19" t="s">
        <v>2098</v>
      </c>
      <c r="D699" s="19" t="s">
        <v>2131</v>
      </c>
      <c r="E699" s="53" t="s">
        <v>42</v>
      </c>
      <c r="F699" s="31" t="s">
        <v>34</v>
      </c>
      <c r="G699" s="37" t="s">
        <v>49</v>
      </c>
      <c r="H699" s="39" t="s">
        <v>2132</v>
      </c>
      <c r="I699" s="19"/>
      <c r="J699" s="19" t="str">
        <f t="array" ref="J699">IF($I699="","",IFERROR(INDEX(Legend!$C$41:$C$45,MATCH($I699,Legend!$B$41:$B$45,0)),""))</f>
        <v/>
      </c>
      <c r="K699" s="19"/>
    </row>
    <row r="700" ht="15.75" customHeight="1">
      <c r="A700" s="18">
        <v>696.0</v>
      </c>
      <c r="B700" s="19" t="s">
        <v>945</v>
      </c>
      <c r="C700" s="19" t="s">
        <v>2098</v>
      </c>
      <c r="D700" s="19" t="s">
        <v>2133</v>
      </c>
      <c r="E700" s="53" t="s">
        <v>42</v>
      </c>
      <c r="F700" s="31" t="s">
        <v>34</v>
      </c>
      <c r="G700" s="37" t="s">
        <v>49</v>
      </c>
      <c r="H700" s="39" t="s">
        <v>2134</v>
      </c>
      <c r="I700" s="19"/>
      <c r="J700" s="19" t="str">
        <f t="array" ref="J700">IF($I700="","",IFERROR(INDEX(Legend!$C$41:$C$45,MATCH($I700,Legend!$B$41:$B$45,0)),""))</f>
        <v/>
      </c>
      <c r="K700" s="19"/>
    </row>
    <row r="701" ht="15.75" customHeight="1">
      <c r="A701" s="18">
        <v>697.0</v>
      </c>
      <c r="B701" s="19" t="s">
        <v>945</v>
      </c>
      <c r="C701" s="19" t="s">
        <v>2098</v>
      </c>
      <c r="D701" s="19" t="s">
        <v>2135</v>
      </c>
      <c r="E701" s="53" t="s">
        <v>42</v>
      </c>
      <c r="F701" s="48" t="s">
        <v>77</v>
      </c>
      <c r="G701" s="37" t="s">
        <v>49</v>
      </c>
      <c r="H701" s="39" t="s">
        <v>2136</v>
      </c>
      <c r="I701" s="19"/>
      <c r="J701" s="19" t="str">
        <f t="array" ref="J701">IF($I701="","",IFERROR(INDEX(Legend!$C$41:$C$45,MATCH($I701,Legend!$B$41:$B$45,0)),""))</f>
        <v/>
      </c>
      <c r="K701" s="19"/>
    </row>
    <row r="702" ht="15.75" customHeight="1">
      <c r="A702" s="18">
        <v>698.0</v>
      </c>
      <c r="B702" s="19" t="s">
        <v>951</v>
      </c>
      <c r="C702" s="19"/>
      <c r="D702" s="19" t="s">
        <v>2137</v>
      </c>
      <c r="E702" s="53" t="s">
        <v>42</v>
      </c>
      <c r="F702" s="48" t="s">
        <v>77</v>
      </c>
      <c r="G702" s="37" t="s">
        <v>49</v>
      </c>
      <c r="H702" s="39" t="s">
        <v>2138</v>
      </c>
      <c r="I702" s="19"/>
      <c r="J702" s="19" t="str">
        <f t="array" ref="J702">IF($I702="","",IFERROR(INDEX(Legend!$C$41:$C$45,MATCH($I702,Legend!$B$41:$B$45,0)),""))</f>
        <v/>
      </c>
      <c r="K702" s="19"/>
    </row>
    <row r="703" ht="15.75" customHeight="1">
      <c r="A703" s="18">
        <v>699.0</v>
      </c>
      <c r="B703" s="19" t="s">
        <v>951</v>
      </c>
      <c r="C703" s="19"/>
      <c r="D703" s="19" t="s">
        <v>2139</v>
      </c>
      <c r="E703" s="53" t="s">
        <v>42</v>
      </c>
      <c r="F703" s="31" t="s">
        <v>34</v>
      </c>
      <c r="G703" s="37" t="s">
        <v>49</v>
      </c>
      <c r="H703" s="39" t="s">
        <v>2140</v>
      </c>
      <c r="I703" s="19"/>
      <c r="J703" s="19" t="str">
        <f t="array" ref="J703">IF($I703="","",IFERROR(INDEX(Legend!$C$41:$C$45,MATCH($I703,Legend!$B$41:$B$45,0)),""))</f>
        <v/>
      </c>
      <c r="K703" s="19"/>
    </row>
    <row r="704" ht="15.75" customHeight="1">
      <c r="A704" s="18">
        <v>700.0</v>
      </c>
      <c r="B704" s="19" t="s">
        <v>951</v>
      </c>
      <c r="C704" s="19"/>
      <c r="D704" s="19" t="s">
        <v>2141</v>
      </c>
      <c r="E704" s="53" t="s">
        <v>42</v>
      </c>
      <c r="F704" s="31" t="s">
        <v>34</v>
      </c>
      <c r="G704" s="37" t="s">
        <v>49</v>
      </c>
      <c r="H704" s="39" t="s">
        <v>2142</v>
      </c>
      <c r="I704" s="19"/>
      <c r="J704" s="19" t="str">
        <f t="array" ref="J704">IF($I704="","",IFERROR(INDEX(Legend!$C$41:$C$45,MATCH($I704,Legend!$B$41:$B$45,0)),""))</f>
        <v/>
      </c>
      <c r="K704" s="19"/>
    </row>
    <row r="705" ht="15.75" customHeight="1">
      <c r="A705" s="18">
        <v>701.0</v>
      </c>
      <c r="B705" s="19" t="s">
        <v>951</v>
      </c>
      <c r="C705" s="19"/>
      <c r="D705" s="19" t="s">
        <v>2143</v>
      </c>
      <c r="E705" s="53" t="s">
        <v>42</v>
      </c>
      <c r="F705" s="48" t="s">
        <v>77</v>
      </c>
      <c r="G705" s="37" t="s">
        <v>49</v>
      </c>
      <c r="H705" s="39" t="s">
        <v>2144</v>
      </c>
      <c r="I705" s="19"/>
      <c r="J705" s="19" t="str">
        <f t="array" ref="J705">IF($I705="","",IFERROR(INDEX(Legend!$C$41:$C$45,MATCH($I705,Legend!$B$41:$B$45,0)),""))</f>
        <v/>
      </c>
      <c r="K705" s="19"/>
    </row>
    <row r="706" ht="15.75" customHeight="1">
      <c r="A706" s="18">
        <v>702.0</v>
      </c>
      <c r="B706" s="19" t="s">
        <v>951</v>
      </c>
      <c r="C706" s="19"/>
      <c r="D706" s="19" t="s">
        <v>2145</v>
      </c>
      <c r="E706" s="53" t="s">
        <v>42</v>
      </c>
      <c r="F706" s="31" t="s">
        <v>34</v>
      </c>
      <c r="G706" s="46" t="s">
        <v>50</v>
      </c>
      <c r="H706" s="39"/>
      <c r="I706" s="19"/>
      <c r="J706" s="19" t="str">
        <f t="array" ref="J706">IF($I706="","",IFERROR(INDEX(Legend!$C$41:$C$45,MATCH($I706,Legend!$B$41:$B$45,0)),""))</f>
        <v/>
      </c>
      <c r="K706" s="19"/>
    </row>
    <row r="707" ht="15.75" customHeight="1">
      <c r="A707" s="18">
        <v>703.0</v>
      </c>
      <c r="B707" s="19" t="s">
        <v>951</v>
      </c>
      <c r="C707" s="19"/>
      <c r="D707" s="19" t="s">
        <v>2146</v>
      </c>
      <c r="E707" s="53" t="s">
        <v>42</v>
      </c>
      <c r="F707" s="48" t="s">
        <v>77</v>
      </c>
      <c r="G707" s="37" t="s">
        <v>49</v>
      </c>
      <c r="H707" s="39"/>
      <c r="I707" s="19"/>
      <c r="J707" s="19" t="str">
        <f t="array" ref="J707">IF($I707="","",IFERROR(INDEX(Legend!$C$41:$C$45,MATCH($I707,Legend!$B$41:$B$45,0)),""))</f>
        <v/>
      </c>
      <c r="K707" s="19"/>
    </row>
    <row r="708" ht="15.75" customHeight="1">
      <c r="A708" s="18">
        <v>704.0</v>
      </c>
      <c r="B708" s="19" t="s">
        <v>951</v>
      </c>
      <c r="C708" s="19"/>
      <c r="D708" s="19" t="s">
        <v>2147</v>
      </c>
      <c r="E708" s="53" t="s">
        <v>42</v>
      </c>
      <c r="F708" s="31" t="s">
        <v>34</v>
      </c>
      <c r="G708" s="37" t="s">
        <v>49</v>
      </c>
      <c r="H708" s="39"/>
      <c r="I708" s="19"/>
      <c r="J708" s="19" t="str">
        <f t="array" ref="J708">IF($I708="","",IFERROR(INDEX(Legend!$C$41:$C$45,MATCH($I708,Legend!$B$41:$B$45,0)),""))</f>
        <v/>
      </c>
      <c r="K708" s="19"/>
    </row>
    <row r="709" ht="15.75" customHeight="1">
      <c r="A709" s="18">
        <v>705.0</v>
      </c>
      <c r="B709" s="19" t="s">
        <v>951</v>
      </c>
      <c r="C709" s="19"/>
      <c r="D709" s="19" t="s">
        <v>2148</v>
      </c>
      <c r="E709" s="53" t="s">
        <v>42</v>
      </c>
      <c r="F709" s="31" t="s">
        <v>34</v>
      </c>
      <c r="G709" s="37" t="s">
        <v>49</v>
      </c>
      <c r="H709" s="39"/>
      <c r="I709" s="19"/>
      <c r="J709" s="19" t="str">
        <f t="array" ref="J709">IF($I709="","",IFERROR(INDEX(Legend!$C$41:$C$45,MATCH($I709,Legend!$B$41:$B$45,0)),""))</f>
        <v/>
      </c>
      <c r="K709" s="19"/>
    </row>
    <row r="710" ht="15.75" customHeight="1">
      <c r="A710" s="18">
        <v>706.0</v>
      </c>
      <c r="B710" s="19" t="s">
        <v>951</v>
      </c>
      <c r="C710" s="19"/>
      <c r="D710" s="19" t="s">
        <v>2149</v>
      </c>
      <c r="E710" s="53" t="s">
        <v>42</v>
      </c>
      <c r="F710" s="48" t="s">
        <v>77</v>
      </c>
      <c r="G710" s="37" t="s">
        <v>49</v>
      </c>
      <c r="H710" s="39"/>
      <c r="I710" s="19"/>
      <c r="J710" s="19" t="str">
        <f t="array" ref="J710">IF($I710="","",IFERROR(INDEX(Legend!$C$41:$C$45,MATCH($I710,Legend!$B$41:$B$45,0)),""))</f>
        <v/>
      </c>
      <c r="K710" s="19"/>
    </row>
    <row r="711" ht="15.75" customHeight="1">
      <c r="A711" s="18">
        <v>707.0</v>
      </c>
      <c r="B711" s="19" t="s">
        <v>951</v>
      </c>
      <c r="C711" s="19"/>
      <c r="D711" s="19" t="s">
        <v>2150</v>
      </c>
      <c r="E711" s="53" t="s">
        <v>42</v>
      </c>
      <c r="F711" s="31" t="s">
        <v>34</v>
      </c>
      <c r="G711" s="37" t="s">
        <v>49</v>
      </c>
      <c r="H711" s="39"/>
      <c r="I711" s="19"/>
      <c r="J711" s="19" t="str">
        <f t="array" ref="J711">IF($I711="","",IFERROR(INDEX(Legend!$C$41:$C$45,MATCH($I711,Legend!$B$41:$B$45,0)),""))</f>
        <v/>
      </c>
      <c r="K711" s="19"/>
    </row>
    <row r="712" ht="15.75" customHeight="1">
      <c r="A712" s="18">
        <v>708.0</v>
      </c>
      <c r="B712" s="19" t="s">
        <v>951</v>
      </c>
      <c r="C712" s="19"/>
      <c r="D712" s="19" t="s">
        <v>2151</v>
      </c>
      <c r="E712" s="53" t="s">
        <v>42</v>
      </c>
      <c r="F712" s="31" t="s">
        <v>34</v>
      </c>
      <c r="G712" s="37" t="s">
        <v>49</v>
      </c>
      <c r="H712" s="39"/>
      <c r="I712" s="19"/>
      <c r="J712" s="19" t="str">
        <f t="array" ref="J712">IF($I712="","",IFERROR(INDEX(Legend!$C$41:$C$45,MATCH($I712,Legend!$B$41:$B$45,0)),""))</f>
        <v/>
      </c>
      <c r="K712" s="19"/>
    </row>
    <row r="713" ht="15.75" customHeight="1">
      <c r="A713" s="18">
        <v>709.0</v>
      </c>
      <c r="B713" s="19" t="s">
        <v>951</v>
      </c>
      <c r="C713" s="19"/>
      <c r="D713" s="19" t="s">
        <v>2152</v>
      </c>
      <c r="E713" s="53" t="s">
        <v>42</v>
      </c>
      <c r="F713" s="31" t="s">
        <v>34</v>
      </c>
      <c r="G713" s="37" t="s">
        <v>49</v>
      </c>
      <c r="H713" s="39"/>
      <c r="I713" s="19"/>
      <c r="J713" s="19" t="str">
        <f t="array" ref="J713">IF($I713="","",IFERROR(INDEX(Legend!$C$41:$C$45,MATCH($I713,Legend!$B$41:$B$45,0)),""))</f>
        <v/>
      </c>
      <c r="K713" s="19"/>
    </row>
    <row r="714" ht="15.75" customHeight="1">
      <c r="A714" s="18">
        <v>710.0</v>
      </c>
      <c r="B714" s="19" t="s">
        <v>951</v>
      </c>
      <c r="C714" s="19"/>
      <c r="D714" s="19" t="s">
        <v>2153</v>
      </c>
      <c r="E714" s="53" t="s">
        <v>42</v>
      </c>
      <c r="F714" s="48" t="s">
        <v>77</v>
      </c>
      <c r="G714" s="37" t="s">
        <v>49</v>
      </c>
      <c r="H714" s="39" t="s">
        <v>2154</v>
      </c>
      <c r="I714" s="19"/>
      <c r="J714" s="19" t="str">
        <f t="array" ref="J714">IF($I714="","",IFERROR(INDEX(Legend!$C$41:$C$45,MATCH($I714,Legend!$B$41:$B$45,0)),""))</f>
        <v/>
      </c>
      <c r="K714" s="19"/>
    </row>
    <row r="715" ht="15.75" customHeight="1">
      <c r="A715" s="18">
        <v>711.0</v>
      </c>
      <c r="B715" s="19" t="s">
        <v>951</v>
      </c>
      <c r="C715" s="19"/>
      <c r="D715" s="19" t="s">
        <v>2155</v>
      </c>
      <c r="E715" s="53" t="s">
        <v>42</v>
      </c>
      <c r="F715" s="31" t="s">
        <v>34</v>
      </c>
      <c r="G715" s="46" t="s">
        <v>50</v>
      </c>
      <c r="H715" s="39"/>
      <c r="I715" s="19"/>
      <c r="J715" s="19" t="str">
        <f t="array" ref="J715">IF($I715="","",IFERROR(INDEX(Legend!$C$41:$C$45,MATCH($I715,Legend!$B$41:$B$45,0)),""))</f>
        <v/>
      </c>
      <c r="K715" s="19"/>
    </row>
    <row r="716" ht="15.75" customHeight="1">
      <c r="A716" s="18">
        <v>712.0</v>
      </c>
      <c r="B716" s="19" t="s">
        <v>951</v>
      </c>
      <c r="C716" s="19"/>
      <c r="D716" s="19" t="s">
        <v>2156</v>
      </c>
      <c r="E716" s="53" t="s">
        <v>42</v>
      </c>
      <c r="F716" s="31" t="s">
        <v>34</v>
      </c>
      <c r="G716" s="37" t="s">
        <v>49</v>
      </c>
      <c r="H716" s="39"/>
      <c r="I716" s="19"/>
      <c r="J716" s="19" t="str">
        <f t="array" ref="J716">IF($I716="","",IFERROR(INDEX(Legend!$C$41:$C$45,MATCH($I716,Legend!$B$41:$B$45,0)),""))</f>
        <v/>
      </c>
      <c r="K716" s="19"/>
    </row>
    <row r="717" ht="15.75" customHeight="1">
      <c r="A717" s="18">
        <v>713.0</v>
      </c>
      <c r="B717" s="19" t="s">
        <v>951</v>
      </c>
      <c r="C717" s="19"/>
      <c r="D717" s="19" t="s">
        <v>2157</v>
      </c>
      <c r="E717" s="53" t="s">
        <v>42</v>
      </c>
      <c r="F717" s="31" t="s">
        <v>34</v>
      </c>
      <c r="G717" s="37" t="s">
        <v>49</v>
      </c>
      <c r="H717" s="39" t="s">
        <v>2158</v>
      </c>
      <c r="I717" s="19"/>
      <c r="J717" s="19" t="str">
        <f t="array" ref="J717">IF($I717="","",IFERROR(INDEX(Legend!$C$41:$C$45,MATCH($I717,Legend!$B$41:$B$45,0)),""))</f>
        <v/>
      </c>
      <c r="K717" s="19"/>
    </row>
    <row r="718" ht="15.75" customHeight="1">
      <c r="A718" s="18">
        <v>714.0</v>
      </c>
      <c r="B718" s="19" t="s">
        <v>951</v>
      </c>
      <c r="C718" s="19"/>
      <c r="D718" s="19" t="s">
        <v>2159</v>
      </c>
      <c r="E718" s="53" t="s">
        <v>42</v>
      </c>
      <c r="F718" s="31" t="s">
        <v>34</v>
      </c>
      <c r="G718" s="46" t="s">
        <v>50</v>
      </c>
      <c r="H718" s="39"/>
      <c r="I718" s="19"/>
      <c r="J718" s="19" t="str">
        <f t="array" ref="J718">IF($I718="","",IFERROR(INDEX(Legend!$C$41:$C$45,MATCH($I718,Legend!$B$41:$B$45,0)),""))</f>
        <v/>
      </c>
      <c r="K718" s="19"/>
    </row>
    <row r="719" ht="15.75" customHeight="1">
      <c r="A719" s="18">
        <v>715.0</v>
      </c>
      <c r="B719" s="19" t="s">
        <v>951</v>
      </c>
      <c r="C719" s="19"/>
      <c r="D719" s="19" t="s">
        <v>2160</v>
      </c>
      <c r="E719" s="53" t="s">
        <v>42</v>
      </c>
      <c r="F719" s="31" t="s">
        <v>34</v>
      </c>
      <c r="G719" s="37" t="s">
        <v>49</v>
      </c>
      <c r="H719" s="39" t="s">
        <v>2161</v>
      </c>
      <c r="I719" s="19"/>
      <c r="J719" s="19" t="str">
        <f t="array" ref="J719">IF($I719="","",IFERROR(INDEX(Legend!$C$41:$C$45,MATCH($I719,Legend!$B$41:$B$45,0)),""))</f>
        <v/>
      </c>
      <c r="K719" s="19"/>
    </row>
    <row r="720" ht="15.75" customHeight="1">
      <c r="A720" s="18">
        <v>716.0</v>
      </c>
      <c r="B720" s="19" t="s">
        <v>951</v>
      </c>
      <c r="C720" s="19"/>
      <c r="D720" s="19" t="s">
        <v>2162</v>
      </c>
      <c r="E720" s="53" t="s">
        <v>42</v>
      </c>
      <c r="F720" s="31" t="s">
        <v>34</v>
      </c>
      <c r="G720" s="37" t="s">
        <v>49</v>
      </c>
      <c r="H720" s="39"/>
      <c r="I720" s="19"/>
      <c r="J720" s="19" t="str">
        <f t="array" ref="J720">IF($I720="","",IFERROR(INDEX(Legend!$C$41:$C$45,MATCH($I720,Legend!$B$41:$B$45,0)),""))</f>
        <v/>
      </c>
      <c r="K720" s="19"/>
    </row>
    <row r="721" ht="15.75" customHeight="1">
      <c r="A721" s="18">
        <v>717.0</v>
      </c>
      <c r="B721" s="19" t="s">
        <v>951</v>
      </c>
      <c r="C721" s="19"/>
      <c r="D721" s="19" t="s">
        <v>2163</v>
      </c>
      <c r="E721" s="53" t="s">
        <v>42</v>
      </c>
      <c r="F721" s="31" t="s">
        <v>34</v>
      </c>
      <c r="G721" s="37" t="s">
        <v>49</v>
      </c>
      <c r="H721" s="39" t="s">
        <v>2164</v>
      </c>
      <c r="I721" s="19"/>
      <c r="J721" s="19" t="str">
        <f t="array" ref="J721">IF($I721="","",IFERROR(INDEX(Legend!$C$41:$C$45,MATCH($I721,Legend!$B$41:$B$45,0)),""))</f>
        <v/>
      </c>
      <c r="K721" s="19"/>
    </row>
    <row r="722" ht="15.75" customHeight="1">
      <c r="A722" s="18">
        <v>718.0</v>
      </c>
      <c r="B722" s="19" t="s">
        <v>951</v>
      </c>
      <c r="C722" s="19"/>
      <c r="D722" s="19" t="s">
        <v>2165</v>
      </c>
      <c r="E722" s="53" t="s">
        <v>42</v>
      </c>
      <c r="F722" s="48" t="s">
        <v>77</v>
      </c>
      <c r="G722" s="37" t="s">
        <v>49</v>
      </c>
      <c r="H722" s="39" t="s">
        <v>2166</v>
      </c>
      <c r="I722" s="19"/>
      <c r="J722" s="19" t="str">
        <f t="array" ref="J722">IF($I722="","",IFERROR(INDEX(Legend!$C$41:$C$45,MATCH($I722,Legend!$B$41:$B$45,0)),""))</f>
        <v/>
      </c>
      <c r="K722" s="19"/>
    </row>
    <row r="723" ht="15.75" customHeight="1">
      <c r="A723" s="18">
        <v>719.0</v>
      </c>
      <c r="B723" s="19" t="s">
        <v>951</v>
      </c>
      <c r="C723" s="19"/>
      <c r="D723" s="19" t="s">
        <v>2167</v>
      </c>
      <c r="E723" s="53" t="s">
        <v>42</v>
      </c>
      <c r="F723" s="48" t="s">
        <v>77</v>
      </c>
      <c r="G723" s="46" t="s">
        <v>50</v>
      </c>
      <c r="H723" s="39"/>
      <c r="I723" s="19"/>
      <c r="J723" s="19" t="str">
        <f t="array" ref="J723">IF($I723="","",IFERROR(INDEX(Legend!$C$41:$C$45,MATCH($I723,Legend!$B$41:$B$45,0)),""))</f>
        <v/>
      </c>
      <c r="K723" s="19"/>
    </row>
    <row r="724" ht="15.75" customHeight="1">
      <c r="A724" s="18">
        <v>720.0</v>
      </c>
      <c r="B724" s="19" t="s">
        <v>951</v>
      </c>
      <c r="C724" s="19"/>
      <c r="D724" s="19" t="s">
        <v>2168</v>
      </c>
      <c r="E724" s="53" t="s">
        <v>42</v>
      </c>
      <c r="F724" s="31" t="s">
        <v>34</v>
      </c>
      <c r="G724" s="37" t="s">
        <v>49</v>
      </c>
      <c r="H724" s="39"/>
      <c r="I724" s="19"/>
      <c r="J724" s="19" t="str">
        <f t="array" ref="J724">IF($I724="","",IFERROR(INDEX(Legend!$C$41:$C$45,MATCH($I724,Legend!$B$41:$B$45,0)),""))</f>
        <v/>
      </c>
      <c r="K724" s="19"/>
    </row>
    <row r="725" ht="15.75" customHeight="1">
      <c r="A725" s="18">
        <v>721.0</v>
      </c>
      <c r="B725" s="19" t="s">
        <v>951</v>
      </c>
      <c r="C725" s="19"/>
      <c r="D725" s="19" t="s">
        <v>2169</v>
      </c>
      <c r="E725" s="53" t="s">
        <v>42</v>
      </c>
      <c r="F725" s="31" t="s">
        <v>34</v>
      </c>
      <c r="G725" s="46" t="s">
        <v>50</v>
      </c>
      <c r="H725" s="39"/>
      <c r="I725" s="19"/>
      <c r="J725" s="19" t="str">
        <f t="array" ref="J725">IF($I725="","",IFERROR(INDEX(Legend!$C$41:$C$45,MATCH($I725,Legend!$B$41:$B$45,0)),""))</f>
        <v/>
      </c>
      <c r="K725" s="19"/>
    </row>
    <row r="726" ht="15.75" customHeight="1">
      <c r="A726" s="18">
        <v>722.0</v>
      </c>
      <c r="B726" s="19" t="s">
        <v>951</v>
      </c>
      <c r="C726" s="19"/>
      <c r="D726" s="19" t="s">
        <v>2170</v>
      </c>
      <c r="E726" s="53" t="s">
        <v>42</v>
      </c>
      <c r="F726" s="31" t="s">
        <v>34</v>
      </c>
      <c r="G726" s="46" t="s">
        <v>50</v>
      </c>
      <c r="H726" s="39"/>
      <c r="I726" s="19"/>
      <c r="J726" s="19" t="str">
        <f t="array" ref="J726">IF($I726="","",IFERROR(INDEX(Legend!$C$41:$C$45,MATCH($I726,Legend!$B$41:$B$45,0)),""))</f>
        <v/>
      </c>
      <c r="K726" s="19"/>
    </row>
    <row r="727" ht="15.75" customHeight="1">
      <c r="A727" s="18">
        <v>723.0</v>
      </c>
      <c r="B727" s="19" t="s">
        <v>951</v>
      </c>
      <c r="C727" s="19"/>
      <c r="D727" s="19" t="s">
        <v>2171</v>
      </c>
      <c r="E727" s="53" t="s">
        <v>42</v>
      </c>
      <c r="F727" s="31" t="s">
        <v>34</v>
      </c>
      <c r="G727" s="37" t="s">
        <v>49</v>
      </c>
      <c r="H727" s="39"/>
      <c r="I727" s="19"/>
      <c r="J727" s="19" t="str">
        <f t="array" ref="J727">IF($I727="","",IFERROR(INDEX(Legend!$C$41:$C$45,MATCH($I727,Legend!$B$41:$B$45,0)),""))</f>
        <v/>
      </c>
      <c r="K727" s="19"/>
    </row>
    <row r="728" ht="15.75" customHeight="1">
      <c r="A728" s="18">
        <v>724.0</v>
      </c>
      <c r="B728" s="19" t="s">
        <v>951</v>
      </c>
      <c r="C728" s="19"/>
      <c r="D728" s="19" t="s">
        <v>2172</v>
      </c>
      <c r="E728" s="53" t="s">
        <v>42</v>
      </c>
      <c r="F728" s="31" t="s">
        <v>34</v>
      </c>
      <c r="G728" s="37" t="s">
        <v>49</v>
      </c>
      <c r="H728" s="39" t="s">
        <v>2173</v>
      </c>
      <c r="I728" s="19"/>
      <c r="J728" s="19" t="str">
        <f t="array" ref="J728">IF($I728="","",IFERROR(INDEX(Legend!$C$41:$C$45,MATCH($I728,Legend!$B$41:$B$45,0)),""))</f>
        <v/>
      </c>
      <c r="K728" s="19"/>
    </row>
    <row r="729" ht="15.75" customHeight="1">
      <c r="A729" s="18">
        <v>725.0</v>
      </c>
      <c r="B729" s="19" t="s">
        <v>951</v>
      </c>
      <c r="C729" s="19"/>
      <c r="D729" s="19" t="s">
        <v>2174</v>
      </c>
      <c r="E729" s="48" t="s">
        <v>43</v>
      </c>
      <c r="F729" s="54" t="s">
        <v>46</v>
      </c>
      <c r="G729" s="61" t="s">
        <v>47</v>
      </c>
      <c r="H729" s="39" t="s">
        <v>488</v>
      </c>
      <c r="I729" s="19"/>
      <c r="J729" s="19" t="str">
        <f t="array" ref="J729">IF($I729="","",IFERROR(INDEX(Legend!$C$41:$C$45,MATCH($I729,Legend!$B$41:$B$45,0)),""))</f>
        <v/>
      </c>
      <c r="K729" s="19"/>
    </row>
    <row r="730" ht="15.75" customHeight="1">
      <c r="A730" s="18">
        <v>726.0</v>
      </c>
      <c r="B730" s="19" t="s">
        <v>951</v>
      </c>
      <c r="C730" s="19"/>
      <c r="D730" s="19" t="s">
        <v>2175</v>
      </c>
      <c r="E730" s="53" t="s">
        <v>42</v>
      </c>
      <c r="F730" s="31" t="s">
        <v>34</v>
      </c>
      <c r="G730" s="46" t="s">
        <v>50</v>
      </c>
      <c r="H730" s="39"/>
      <c r="I730" s="19"/>
      <c r="J730" s="19" t="str">
        <f t="array" ref="J730">IF($I730="","",IFERROR(INDEX(Legend!$C$41:$C$45,MATCH($I730,Legend!$B$41:$B$45,0)),""))</f>
        <v/>
      </c>
      <c r="K730" s="19"/>
    </row>
    <row r="731" ht="15.75" customHeight="1">
      <c r="A731" s="18">
        <v>727.0</v>
      </c>
      <c r="B731" s="19" t="s">
        <v>951</v>
      </c>
      <c r="C731" s="19"/>
      <c r="D731" s="19" t="s">
        <v>2176</v>
      </c>
      <c r="E731" s="48" t="s">
        <v>43</v>
      </c>
      <c r="F731" s="54" t="s">
        <v>46</v>
      </c>
      <c r="G731" s="61" t="s">
        <v>47</v>
      </c>
      <c r="H731" s="39" t="s">
        <v>488</v>
      </c>
      <c r="I731" s="19"/>
      <c r="J731" s="19" t="str">
        <f t="array" ref="J731">IF($I731="","",IFERROR(INDEX(Legend!$C$41:$C$45,MATCH($I731,Legend!$B$41:$B$45,0)),""))</f>
        <v/>
      </c>
      <c r="K731" s="19"/>
    </row>
    <row r="732" ht="15.75" customHeight="1">
      <c r="A732" s="18">
        <v>728.0</v>
      </c>
      <c r="B732" s="19" t="s">
        <v>958</v>
      </c>
      <c r="C732" s="19" t="s">
        <v>2177</v>
      </c>
      <c r="D732" s="19" t="s">
        <v>2178</v>
      </c>
      <c r="E732" s="20" t="s">
        <v>33</v>
      </c>
      <c r="F732" s="31" t="s">
        <v>34</v>
      </c>
      <c r="G732" s="37" t="s">
        <v>49</v>
      </c>
      <c r="H732" s="39"/>
      <c r="I732" s="19"/>
      <c r="J732" s="19" t="str">
        <f t="array" ref="J732">IF($I732="","",IFERROR(INDEX(Legend!$C$41:$C$45,MATCH($I732,Legend!$B$41:$B$45,0)),""))</f>
        <v/>
      </c>
      <c r="K732" s="19"/>
    </row>
    <row r="733" ht="15.75" customHeight="1">
      <c r="A733" s="18">
        <v>729.0</v>
      </c>
      <c r="B733" s="19" t="s">
        <v>958</v>
      </c>
      <c r="C733" s="19" t="s">
        <v>2177</v>
      </c>
      <c r="D733" s="19" t="s">
        <v>2179</v>
      </c>
      <c r="E733" s="20" t="s">
        <v>33</v>
      </c>
      <c r="F733" s="48" t="s">
        <v>77</v>
      </c>
      <c r="G733" s="37" t="s">
        <v>49</v>
      </c>
      <c r="H733" s="39" t="s">
        <v>2180</v>
      </c>
      <c r="I733" s="19"/>
      <c r="J733" s="19" t="str">
        <f t="array" ref="J733">IF($I733="","",IFERROR(INDEX(Legend!$C$41:$C$45,MATCH($I733,Legend!$B$41:$B$45,0)),""))</f>
        <v/>
      </c>
      <c r="K733" s="19"/>
    </row>
    <row r="734" ht="15.75" customHeight="1">
      <c r="A734" s="18">
        <v>730.0</v>
      </c>
      <c r="B734" s="19" t="s">
        <v>958</v>
      </c>
      <c r="C734" s="19" t="s">
        <v>2177</v>
      </c>
      <c r="D734" s="19" t="s">
        <v>2181</v>
      </c>
      <c r="E734" s="20" t="s">
        <v>33</v>
      </c>
      <c r="F734" s="31" t="s">
        <v>34</v>
      </c>
      <c r="G734" s="37" t="s">
        <v>49</v>
      </c>
      <c r="H734" s="39"/>
      <c r="I734" s="19"/>
      <c r="J734" s="19" t="str">
        <f t="array" ref="J734">IF($I734="","",IFERROR(INDEX(Legend!$C$41:$C$45,MATCH($I734,Legend!$B$41:$B$45,0)),""))</f>
        <v/>
      </c>
      <c r="K734" s="19"/>
    </row>
    <row r="735" ht="15.75" customHeight="1">
      <c r="A735" s="18">
        <v>731.0</v>
      </c>
      <c r="B735" s="19" t="s">
        <v>958</v>
      </c>
      <c r="C735" s="19" t="s">
        <v>2177</v>
      </c>
      <c r="D735" s="19" t="s">
        <v>2182</v>
      </c>
      <c r="E735" s="53" t="s">
        <v>42</v>
      </c>
      <c r="F735" s="31" t="s">
        <v>34</v>
      </c>
      <c r="G735" s="37" t="s">
        <v>49</v>
      </c>
      <c r="H735" s="39" t="s">
        <v>2183</v>
      </c>
      <c r="I735" s="19"/>
      <c r="J735" s="19" t="str">
        <f t="array" ref="J735">IF($I735="","",IFERROR(INDEX(Legend!$C$41:$C$45,MATCH($I735,Legend!$B$41:$B$45,0)),""))</f>
        <v/>
      </c>
      <c r="K735" s="19"/>
    </row>
    <row r="736" ht="15.75" customHeight="1">
      <c r="A736" s="18">
        <v>732.0</v>
      </c>
      <c r="B736" s="19" t="s">
        <v>958</v>
      </c>
      <c r="C736" s="19" t="s">
        <v>2177</v>
      </c>
      <c r="D736" s="19" t="s">
        <v>2184</v>
      </c>
      <c r="E736" s="53" t="s">
        <v>42</v>
      </c>
      <c r="F736" s="31" t="s">
        <v>34</v>
      </c>
      <c r="G736" s="46" t="s">
        <v>50</v>
      </c>
      <c r="H736" s="39" t="s">
        <v>2185</v>
      </c>
      <c r="I736" s="19"/>
      <c r="J736" s="19" t="str">
        <f t="array" ref="J736">IF($I736="","",IFERROR(INDEX(Legend!$C$41:$C$45,MATCH($I736,Legend!$B$41:$B$45,0)),""))</f>
        <v/>
      </c>
      <c r="K736" s="19"/>
    </row>
    <row r="737" ht="15.75" customHeight="1">
      <c r="A737" s="18">
        <v>733.0</v>
      </c>
      <c r="B737" s="19" t="s">
        <v>958</v>
      </c>
      <c r="C737" s="19" t="s">
        <v>2177</v>
      </c>
      <c r="D737" s="19" t="s">
        <v>2186</v>
      </c>
      <c r="E737" s="53" t="s">
        <v>42</v>
      </c>
      <c r="F737" s="48" t="s">
        <v>77</v>
      </c>
      <c r="G737" s="37" t="s">
        <v>49</v>
      </c>
      <c r="H737" s="39"/>
      <c r="I737" s="19"/>
      <c r="J737" s="19" t="str">
        <f t="array" ref="J737">IF($I737="","",IFERROR(INDEX(Legend!$C$41:$C$45,MATCH($I737,Legend!$B$41:$B$45,0)),""))</f>
        <v/>
      </c>
      <c r="K737" s="19"/>
    </row>
    <row r="738" ht="15.75" customHeight="1">
      <c r="A738" s="18">
        <v>734.0</v>
      </c>
      <c r="B738" s="19" t="s">
        <v>958</v>
      </c>
      <c r="C738" s="19" t="s">
        <v>2177</v>
      </c>
      <c r="D738" s="19" t="s">
        <v>2187</v>
      </c>
      <c r="E738" s="53" t="s">
        <v>42</v>
      </c>
      <c r="F738" s="31" t="s">
        <v>34</v>
      </c>
      <c r="G738" s="37" t="s">
        <v>49</v>
      </c>
      <c r="H738" s="39" t="s">
        <v>2188</v>
      </c>
      <c r="I738" s="19"/>
      <c r="J738" s="19" t="str">
        <f t="array" ref="J738">IF($I738="","",IFERROR(INDEX(Legend!$C$41:$C$45,MATCH($I738,Legend!$B$41:$B$45,0)),""))</f>
        <v/>
      </c>
      <c r="K738" s="19"/>
    </row>
    <row r="739" ht="15.75" customHeight="1">
      <c r="A739" s="18">
        <v>735.0</v>
      </c>
      <c r="B739" s="19" t="s">
        <v>958</v>
      </c>
      <c r="C739" s="19" t="s">
        <v>2177</v>
      </c>
      <c r="D739" s="19" t="s">
        <v>2189</v>
      </c>
      <c r="E739" s="53" t="s">
        <v>42</v>
      </c>
      <c r="F739" s="31" t="s">
        <v>34</v>
      </c>
      <c r="G739" s="37" t="s">
        <v>49</v>
      </c>
      <c r="H739" s="39" t="s">
        <v>2190</v>
      </c>
      <c r="I739" s="19"/>
      <c r="J739" s="19" t="str">
        <f t="array" ref="J739">IF($I739="","",IFERROR(INDEX(Legend!$C$41:$C$45,MATCH($I739,Legend!$B$41:$B$45,0)),""))</f>
        <v/>
      </c>
      <c r="K739" s="19"/>
    </row>
    <row r="740" ht="15.75" customHeight="1">
      <c r="A740" s="18">
        <v>736.0</v>
      </c>
      <c r="B740" s="19" t="s">
        <v>958</v>
      </c>
      <c r="C740" s="19" t="s">
        <v>2177</v>
      </c>
      <c r="D740" s="19" t="s">
        <v>2191</v>
      </c>
      <c r="E740" s="20" t="s">
        <v>33</v>
      </c>
      <c r="F740" s="31" t="s">
        <v>34</v>
      </c>
      <c r="G740" s="37" t="s">
        <v>49</v>
      </c>
      <c r="H740" s="39"/>
      <c r="I740" s="19"/>
      <c r="J740" s="19" t="str">
        <f t="array" ref="J740">IF($I740="","",IFERROR(INDEX(Legend!$C$41:$C$45,MATCH($I740,Legend!$B$41:$B$45,0)),""))</f>
        <v/>
      </c>
      <c r="K740" s="19"/>
    </row>
    <row r="741" ht="15.75" customHeight="1">
      <c r="A741" s="18">
        <v>737.0</v>
      </c>
      <c r="B741" s="19" t="s">
        <v>958</v>
      </c>
      <c r="C741" s="19" t="s">
        <v>2177</v>
      </c>
      <c r="D741" s="19" t="s">
        <v>2192</v>
      </c>
      <c r="E741" s="53" t="s">
        <v>42</v>
      </c>
      <c r="F741" s="31" t="s">
        <v>34</v>
      </c>
      <c r="G741" s="46" t="s">
        <v>50</v>
      </c>
      <c r="H741" s="39" t="s">
        <v>2193</v>
      </c>
      <c r="I741" s="19"/>
      <c r="J741" s="19" t="str">
        <f t="array" ref="J741">IF($I741="","",IFERROR(INDEX(Legend!$C$41:$C$45,MATCH($I741,Legend!$B$41:$B$45,0)),""))</f>
        <v/>
      </c>
      <c r="K741" s="19"/>
    </row>
    <row r="742" ht="15.75" customHeight="1">
      <c r="A742" s="18">
        <v>738.0</v>
      </c>
      <c r="B742" s="19" t="s">
        <v>958</v>
      </c>
      <c r="C742" s="19" t="s">
        <v>2177</v>
      </c>
      <c r="D742" s="19" t="s">
        <v>2194</v>
      </c>
      <c r="E742" s="53" t="s">
        <v>42</v>
      </c>
      <c r="F742" s="48" t="s">
        <v>77</v>
      </c>
      <c r="G742" s="37" t="s">
        <v>49</v>
      </c>
      <c r="H742" s="39"/>
      <c r="I742" s="19"/>
      <c r="J742" s="19" t="str">
        <f t="array" ref="J742">IF($I742="","",IFERROR(INDEX(Legend!$C$41:$C$45,MATCH($I742,Legend!$B$41:$B$45,0)),""))</f>
        <v/>
      </c>
      <c r="K742" s="19"/>
    </row>
    <row r="743" ht="15.75" customHeight="1">
      <c r="A743" s="18">
        <v>739.0</v>
      </c>
      <c r="B743" s="19" t="s">
        <v>958</v>
      </c>
      <c r="C743" s="19" t="s">
        <v>2177</v>
      </c>
      <c r="D743" s="19" t="s">
        <v>2195</v>
      </c>
      <c r="E743" s="53" t="s">
        <v>42</v>
      </c>
      <c r="F743" s="48" t="s">
        <v>77</v>
      </c>
      <c r="G743" s="37" t="s">
        <v>49</v>
      </c>
      <c r="H743" s="39" t="s">
        <v>2196</v>
      </c>
      <c r="I743" s="19"/>
      <c r="J743" s="19" t="str">
        <f t="array" ref="J743">IF($I743="","",IFERROR(INDEX(Legend!$C$41:$C$45,MATCH($I743,Legend!$B$41:$B$45,0)),""))</f>
        <v/>
      </c>
      <c r="K743" s="19"/>
    </row>
    <row r="744" ht="15.75" customHeight="1">
      <c r="A744" s="18">
        <v>740.0</v>
      </c>
      <c r="B744" s="19" t="s">
        <v>958</v>
      </c>
      <c r="C744" s="19" t="s">
        <v>2177</v>
      </c>
      <c r="D744" s="19" t="s">
        <v>2197</v>
      </c>
      <c r="E744" s="53" t="s">
        <v>42</v>
      </c>
      <c r="F744" s="31" t="s">
        <v>34</v>
      </c>
      <c r="G744" s="37" t="s">
        <v>49</v>
      </c>
      <c r="H744" s="39"/>
      <c r="I744" s="19"/>
      <c r="J744" s="19" t="str">
        <f t="array" ref="J744">IF($I744="","",IFERROR(INDEX(Legend!$C$41:$C$45,MATCH($I744,Legend!$B$41:$B$45,0)),""))</f>
        <v/>
      </c>
      <c r="K744" s="19"/>
    </row>
    <row r="745" ht="15.75" customHeight="1">
      <c r="A745" s="18">
        <v>741.0</v>
      </c>
      <c r="B745" s="19" t="s">
        <v>958</v>
      </c>
      <c r="C745" s="19" t="s">
        <v>2198</v>
      </c>
      <c r="D745" s="19" t="s">
        <v>2199</v>
      </c>
      <c r="E745" s="20" t="s">
        <v>33</v>
      </c>
      <c r="F745" s="31" t="s">
        <v>34</v>
      </c>
      <c r="G745" s="37" t="s">
        <v>49</v>
      </c>
      <c r="H745" s="39"/>
      <c r="I745" s="19"/>
      <c r="J745" s="19" t="str">
        <f t="array" ref="J745">IF($I745="","",IFERROR(INDEX(Legend!$C$41:$C$45,MATCH($I745,Legend!$B$41:$B$45,0)),""))</f>
        <v/>
      </c>
      <c r="K745" s="19"/>
    </row>
    <row r="746" ht="15.75" customHeight="1">
      <c r="A746" s="18">
        <v>742.0</v>
      </c>
      <c r="B746" s="19" t="s">
        <v>958</v>
      </c>
      <c r="C746" s="19" t="s">
        <v>2198</v>
      </c>
      <c r="D746" s="19" t="s">
        <v>2200</v>
      </c>
      <c r="E746" s="53" t="s">
        <v>42</v>
      </c>
      <c r="F746" s="31" t="s">
        <v>34</v>
      </c>
      <c r="G746" s="37" t="s">
        <v>49</v>
      </c>
      <c r="H746" s="39"/>
      <c r="I746" s="19"/>
      <c r="J746" s="19" t="str">
        <f t="array" ref="J746">IF($I746="","",IFERROR(INDEX(Legend!$C$41:$C$45,MATCH($I746,Legend!$B$41:$B$45,0)),""))</f>
        <v/>
      </c>
      <c r="K746" s="19"/>
    </row>
    <row r="747" ht="15.75" customHeight="1">
      <c r="A747" s="18">
        <v>743.0</v>
      </c>
      <c r="B747" s="19" t="s">
        <v>958</v>
      </c>
      <c r="C747" s="19" t="s">
        <v>2198</v>
      </c>
      <c r="D747" s="19" t="s">
        <v>2201</v>
      </c>
      <c r="E747" s="20" t="s">
        <v>33</v>
      </c>
      <c r="F747" s="31" t="s">
        <v>34</v>
      </c>
      <c r="G747" s="37" t="s">
        <v>49</v>
      </c>
      <c r="H747" s="39" t="s">
        <v>2202</v>
      </c>
      <c r="I747" s="19"/>
      <c r="J747" s="19" t="str">
        <f t="array" ref="J747">IF($I747="","",IFERROR(INDEX(Legend!$C$41:$C$45,MATCH($I747,Legend!$B$41:$B$45,0)),""))</f>
        <v/>
      </c>
      <c r="K747" s="19"/>
    </row>
    <row r="748" ht="15.75" customHeight="1">
      <c r="A748" s="18">
        <v>744.0</v>
      </c>
      <c r="B748" s="19" t="s">
        <v>958</v>
      </c>
      <c r="C748" s="19" t="s">
        <v>2198</v>
      </c>
      <c r="D748" s="19" t="s">
        <v>2203</v>
      </c>
      <c r="E748" s="20" t="s">
        <v>33</v>
      </c>
      <c r="F748" s="31" t="s">
        <v>34</v>
      </c>
      <c r="G748" s="37" t="s">
        <v>49</v>
      </c>
      <c r="H748" s="39"/>
      <c r="I748" s="19"/>
      <c r="J748" s="19" t="str">
        <f t="array" ref="J748">IF($I748="","",IFERROR(INDEX(Legend!$C$41:$C$45,MATCH($I748,Legend!$B$41:$B$45,0)),""))</f>
        <v/>
      </c>
      <c r="K748" s="19"/>
    </row>
    <row r="749" ht="15.75" customHeight="1">
      <c r="A749" s="18">
        <v>745.0</v>
      </c>
      <c r="B749" s="19" t="s">
        <v>958</v>
      </c>
      <c r="C749" s="19" t="s">
        <v>2198</v>
      </c>
      <c r="D749" s="19" t="s">
        <v>2204</v>
      </c>
      <c r="E749" s="20" t="s">
        <v>33</v>
      </c>
      <c r="F749" s="31" t="s">
        <v>34</v>
      </c>
      <c r="G749" s="37" t="s">
        <v>49</v>
      </c>
      <c r="H749" s="39"/>
      <c r="I749" s="19"/>
      <c r="J749" s="19" t="str">
        <f t="array" ref="J749">IF($I749="","",IFERROR(INDEX(Legend!$C$41:$C$45,MATCH($I749,Legend!$B$41:$B$45,0)),""))</f>
        <v/>
      </c>
      <c r="K749" s="19"/>
    </row>
    <row r="750" ht="15.75" customHeight="1">
      <c r="A750" s="18">
        <v>746.0</v>
      </c>
      <c r="B750" s="19" t="s">
        <v>958</v>
      </c>
      <c r="C750" s="19" t="s">
        <v>2198</v>
      </c>
      <c r="D750" s="19" t="s">
        <v>2205</v>
      </c>
      <c r="E750" s="20" t="s">
        <v>33</v>
      </c>
      <c r="F750" s="31" t="s">
        <v>34</v>
      </c>
      <c r="G750" s="37" t="s">
        <v>49</v>
      </c>
      <c r="H750" s="39" t="s">
        <v>2206</v>
      </c>
      <c r="I750" s="19"/>
      <c r="J750" s="19" t="str">
        <f t="array" ref="J750">IF($I750="","",IFERROR(INDEX(Legend!$C$41:$C$45,MATCH($I750,Legend!$B$41:$B$45,0)),""))</f>
        <v/>
      </c>
      <c r="K750" s="19"/>
    </row>
    <row r="751" ht="15.75" customHeight="1">
      <c r="A751" s="18">
        <v>747.0</v>
      </c>
      <c r="B751" s="19" t="s">
        <v>958</v>
      </c>
      <c r="C751" s="19" t="s">
        <v>2198</v>
      </c>
      <c r="D751" s="19" t="s">
        <v>2207</v>
      </c>
      <c r="E751" s="53" t="s">
        <v>42</v>
      </c>
      <c r="F751" s="48" t="s">
        <v>77</v>
      </c>
      <c r="G751" s="37" t="s">
        <v>49</v>
      </c>
      <c r="H751" s="39" t="s">
        <v>2208</v>
      </c>
      <c r="I751" s="19"/>
      <c r="J751" s="19" t="str">
        <f t="array" ref="J751">IF($I751="","",IFERROR(INDEX(Legend!$C$41:$C$45,MATCH($I751,Legend!$B$41:$B$45,0)),""))</f>
        <v/>
      </c>
      <c r="K751" s="19"/>
    </row>
    <row r="752" ht="15.75" customHeight="1">
      <c r="A752" s="18">
        <v>748.0</v>
      </c>
      <c r="B752" s="19" t="s">
        <v>958</v>
      </c>
      <c r="C752" s="19" t="s">
        <v>2198</v>
      </c>
      <c r="D752" s="19" t="s">
        <v>2209</v>
      </c>
      <c r="E752" s="20" t="s">
        <v>33</v>
      </c>
      <c r="F752" s="54" t="s">
        <v>46</v>
      </c>
      <c r="G752" s="61" t="s">
        <v>47</v>
      </c>
      <c r="H752" s="39"/>
      <c r="I752" s="19"/>
      <c r="J752" s="19" t="str">
        <f t="array" ref="J752">IF($I752="","",IFERROR(INDEX(Legend!$C$41:$C$45,MATCH($I752,Legend!$B$41:$B$45,0)),""))</f>
        <v/>
      </c>
      <c r="K752" s="19"/>
    </row>
    <row r="753" ht="15.75" customHeight="1">
      <c r="A753" s="18">
        <v>749.0</v>
      </c>
      <c r="B753" s="19" t="s">
        <v>958</v>
      </c>
      <c r="C753" s="19" t="s">
        <v>2198</v>
      </c>
      <c r="D753" s="19" t="s">
        <v>2210</v>
      </c>
      <c r="E753" s="53" t="s">
        <v>42</v>
      </c>
      <c r="F753" s="31" t="s">
        <v>34</v>
      </c>
      <c r="G753" s="46" t="s">
        <v>50</v>
      </c>
      <c r="H753" s="39"/>
      <c r="I753" s="19"/>
      <c r="J753" s="19" t="str">
        <f t="array" ref="J753">IF($I753="","",IFERROR(INDEX(Legend!$C$41:$C$45,MATCH($I753,Legend!$B$41:$B$45,0)),""))</f>
        <v/>
      </c>
      <c r="K753" s="19"/>
    </row>
    <row r="754" ht="15.75" customHeight="1">
      <c r="A754" s="18">
        <v>750.0</v>
      </c>
      <c r="B754" s="19" t="s">
        <v>958</v>
      </c>
      <c r="C754" s="19" t="s">
        <v>2198</v>
      </c>
      <c r="D754" s="19" t="s">
        <v>2211</v>
      </c>
      <c r="E754" s="53" t="s">
        <v>42</v>
      </c>
      <c r="F754" s="48" t="s">
        <v>77</v>
      </c>
      <c r="G754" s="37" t="s">
        <v>49</v>
      </c>
      <c r="H754" s="39" t="s">
        <v>2212</v>
      </c>
      <c r="I754" s="19"/>
      <c r="J754" s="19" t="str">
        <f t="array" ref="J754">IF($I754="","",IFERROR(INDEX(Legend!$C$41:$C$45,MATCH($I754,Legend!$B$41:$B$45,0)),""))</f>
        <v/>
      </c>
      <c r="K754" s="19"/>
    </row>
    <row r="755" ht="15.75" customHeight="1">
      <c r="A755" s="18">
        <v>751.0</v>
      </c>
      <c r="B755" s="19" t="s">
        <v>958</v>
      </c>
      <c r="C755" s="19" t="s">
        <v>2198</v>
      </c>
      <c r="D755" s="19" t="s">
        <v>2213</v>
      </c>
      <c r="E755" s="53" t="s">
        <v>42</v>
      </c>
      <c r="F755" s="31" t="s">
        <v>34</v>
      </c>
      <c r="G755" s="46" t="s">
        <v>50</v>
      </c>
      <c r="H755" s="39"/>
      <c r="I755" s="19"/>
      <c r="J755" s="19" t="str">
        <f t="array" ref="J755">IF($I755="","",IFERROR(INDEX(Legend!$C$41:$C$45,MATCH($I755,Legend!$B$41:$B$45,0)),""))</f>
        <v/>
      </c>
      <c r="K755" s="19"/>
    </row>
    <row r="756" ht="15.75" customHeight="1">
      <c r="A756" s="18">
        <v>752.0</v>
      </c>
      <c r="B756" s="19" t="s">
        <v>958</v>
      </c>
      <c r="C756" s="19" t="s">
        <v>2214</v>
      </c>
      <c r="D756" s="19" t="s">
        <v>2215</v>
      </c>
      <c r="E756" s="20" t="s">
        <v>33</v>
      </c>
      <c r="F756" s="31" t="s">
        <v>34</v>
      </c>
      <c r="G756" s="37" t="s">
        <v>49</v>
      </c>
      <c r="H756" s="39"/>
      <c r="I756" s="19"/>
      <c r="J756" s="19" t="str">
        <f t="array" ref="J756">IF($I756="","",IFERROR(INDEX(Legend!$C$41:$C$45,MATCH($I756,Legend!$B$41:$B$45,0)),""))</f>
        <v/>
      </c>
      <c r="K756" s="19"/>
    </row>
    <row r="757" ht="15.75" customHeight="1">
      <c r="A757" s="18">
        <v>753.0</v>
      </c>
      <c r="B757" s="19" t="s">
        <v>958</v>
      </c>
      <c r="C757" s="19" t="s">
        <v>2214</v>
      </c>
      <c r="D757" s="19" t="s">
        <v>2216</v>
      </c>
      <c r="E757" s="20" t="s">
        <v>33</v>
      </c>
      <c r="F757" s="31" t="s">
        <v>34</v>
      </c>
      <c r="G757" s="37" t="s">
        <v>49</v>
      </c>
      <c r="H757" s="39"/>
      <c r="I757" s="19"/>
      <c r="J757" s="19" t="str">
        <f t="array" ref="J757">IF($I757="","",IFERROR(INDEX(Legend!$C$41:$C$45,MATCH($I757,Legend!$B$41:$B$45,0)),""))</f>
        <v/>
      </c>
      <c r="K757" s="19"/>
    </row>
    <row r="758" ht="15.75" customHeight="1">
      <c r="A758" s="18">
        <v>754.0</v>
      </c>
      <c r="B758" s="19" t="s">
        <v>958</v>
      </c>
      <c r="C758" s="19" t="s">
        <v>2214</v>
      </c>
      <c r="D758" s="19" t="s">
        <v>2217</v>
      </c>
      <c r="E758" s="20" t="s">
        <v>33</v>
      </c>
      <c r="F758" s="31" t="s">
        <v>34</v>
      </c>
      <c r="G758" s="37" t="s">
        <v>49</v>
      </c>
      <c r="H758" s="39" t="s">
        <v>2218</v>
      </c>
      <c r="I758" s="19"/>
      <c r="J758" s="19" t="str">
        <f t="array" ref="J758">IF($I758="","",IFERROR(INDEX(Legend!$C$41:$C$45,MATCH($I758,Legend!$B$41:$B$45,0)),""))</f>
        <v/>
      </c>
      <c r="K758" s="19"/>
    </row>
    <row r="759" ht="15.75" customHeight="1">
      <c r="A759" s="18">
        <v>755.0</v>
      </c>
      <c r="B759" s="19" t="s">
        <v>958</v>
      </c>
      <c r="C759" s="19" t="s">
        <v>2214</v>
      </c>
      <c r="D759" s="19" t="s">
        <v>2219</v>
      </c>
      <c r="E759" s="20" t="s">
        <v>33</v>
      </c>
      <c r="F759" s="31" t="s">
        <v>34</v>
      </c>
      <c r="G759" s="37" t="s">
        <v>49</v>
      </c>
      <c r="H759" s="39"/>
      <c r="I759" s="19"/>
      <c r="J759" s="19" t="str">
        <f t="array" ref="J759">IF($I759="","",IFERROR(INDEX(Legend!$C$41:$C$45,MATCH($I759,Legend!$B$41:$B$45,0)),""))</f>
        <v/>
      </c>
      <c r="K759" s="19"/>
    </row>
    <row r="760" ht="15.75" customHeight="1">
      <c r="A760" s="18">
        <v>756.0</v>
      </c>
      <c r="B760" s="19" t="s">
        <v>958</v>
      </c>
      <c r="C760" s="19" t="s">
        <v>2214</v>
      </c>
      <c r="D760" s="19" t="s">
        <v>2220</v>
      </c>
      <c r="E760" s="53" t="s">
        <v>42</v>
      </c>
      <c r="F760" s="31" t="s">
        <v>34</v>
      </c>
      <c r="G760" s="37" t="s">
        <v>49</v>
      </c>
      <c r="H760" s="39"/>
      <c r="I760" s="19"/>
      <c r="J760" s="19" t="str">
        <f t="array" ref="J760">IF($I760="","",IFERROR(INDEX(Legend!$C$41:$C$45,MATCH($I760,Legend!$B$41:$B$45,0)),""))</f>
        <v/>
      </c>
      <c r="K760" s="19"/>
    </row>
    <row r="761" ht="15.75" customHeight="1">
      <c r="A761" s="18">
        <v>757.0</v>
      </c>
      <c r="B761" s="19" t="s">
        <v>958</v>
      </c>
      <c r="C761" s="19" t="s">
        <v>2214</v>
      </c>
      <c r="D761" s="19" t="s">
        <v>2221</v>
      </c>
      <c r="E761" s="20" t="s">
        <v>33</v>
      </c>
      <c r="F761" s="31" t="s">
        <v>34</v>
      </c>
      <c r="G761" s="37" t="s">
        <v>49</v>
      </c>
      <c r="H761" s="39"/>
      <c r="I761" s="19"/>
      <c r="J761" s="19" t="str">
        <f t="array" ref="J761">IF($I761="","",IFERROR(INDEX(Legend!$C$41:$C$45,MATCH($I761,Legend!$B$41:$B$45,0)),""))</f>
        <v/>
      </c>
      <c r="K761" s="19"/>
    </row>
    <row r="762" ht="15.75" customHeight="1">
      <c r="A762" s="18">
        <v>758.0</v>
      </c>
      <c r="B762" s="19" t="s">
        <v>958</v>
      </c>
      <c r="C762" s="19" t="s">
        <v>2214</v>
      </c>
      <c r="D762" s="19" t="s">
        <v>2222</v>
      </c>
      <c r="E762" s="20" t="s">
        <v>33</v>
      </c>
      <c r="F762" s="31" t="s">
        <v>34</v>
      </c>
      <c r="G762" s="37" t="s">
        <v>49</v>
      </c>
      <c r="H762" s="39"/>
      <c r="I762" s="19"/>
      <c r="J762" s="19" t="str">
        <f t="array" ref="J762">IF($I762="","",IFERROR(INDEX(Legend!$C$41:$C$45,MATCH($I762,Legend!$B$41:$B$45,0)),""))</f>
        <v/>
      </c>
      <c r="K762" s="19"/>
    </row>
    <row r="763" ht="15.75" customHeight="1">
      <c r="A763" s="18">
        <v>759.0</v>
      </c>
      <c r="B763" s="19" t="s">
        <v>958</v>
      </c>
      <c r="C763" s="19" t="s">
        <v>2214</v>
      </c>
      <c r="D763" s="19" t="s">
        <v>2223</v>
      </c>
      <c r="E763" s="53" t="s">
        <v>42</v>
      </c>
      <c r="F763" s="31" t="s">
        <v>34</v>
      </c>
      <c r="G763" s="37" t="s">
        <v>49</v>
      </c>
      <c r="H763" s="39"/>
      <c r="I763" s="19"/>
      <c r="J763" s="19" t="str">
        <f t="array" ref="J763">IF($I763="","",IFERROR(INDEX(Legend!$C$41:$C$45,MATCH($I763,Legend!$B$41:$B$45,0)),""))</f>
        <v/>
      </c>
      <c r="K763" s="19"/>
    </row>
    <row r="764" ht="15.75" customHeight="1">
      <c r="A764" s="18">
        <v>760.0</v>
      </c>
      <c r="B764" s="19" t="s">
        <v>958</v>
      </c>
      <c r="C764" s="19" t="s">
        <v>2214</v>
      </c>
      <c r="D764" s="19" t="s">
        <v>2224</v>
      </c>
      <c r="E764" s="53" t="s">
        <v>42</v>
      </c>
      <c r="F764" s="31" t="s">
        <v>34</v>
      </c>
      <c r="G764" s="37" t="s">
        <v>49</v>
      </c>
      <c r="H764" s="39"/>
      <c r="I764" s="19"/>
      <c r="J764" s="19" t="str">
        <f t="array" ref="J764">IF($I764="","",IFERROR(INDEX(Legend!$C$41:$C$45,MATCH($I764,Legend!$B$41:$B$45,0)),""))</f>
        <v/>
      </c>
      <c r="K764" s="19"/>
    </row>
    <row r="765" ht="15.75" customHeight="1">
      <c r="A765" s="18">
        <v>761.0</v>
      </c>
      <c r="B765" s="19" t="s">
        <v>958</v>
      </c>
      <c r="C765" s="19" t="s">
        <v>2214</v>
      </c>
      <c r="D765" s="19" t="s">
        <v>2225</v>
      </c>
      <c r="E765" s="53" t="s">
        <v>42</v>
      </c>
      <c r="F765" s="48" t="s">
        <v>77</v>
      </c>
      <c r="G765" s="37" t="s">
        <v>49</v>
      </c>
      <c r="H765" s="39"/>
      <c r="I765" s="19"/>
      <c r="J765" s="19" t="str">
        <f t="array" ref="J765">IF($I765="","",IFERROR(INDEX(Legend!$C$41:$C$45,MATCH($I765,Legend!$B$41:$B$45,0)),""))</f>
        <v/>
      </c>
      <c r="K765" s="19"/>
    </row>
    <row r="766" ht="15.75" customHeight="1">
      <c r="A766" s="18">
        <v>762.0</v>
      </c>
      <c r="B766" s="19" t="s">
        <v>958</v>
      </c>
      <c r="C766" s="19" t="s">
        <v>2214</v>
      </c>
      <c r="D766" s="19" t="s">
        <v>2226</v>
      </c>
      <c r="E766" s="53" t="s">
        <v>42</v>
      </c>
      <c r="F766" s="31" t="s">
        <v>34</v>
      </c>
      <c r="G766" s="37" t="s">
        <v>49</v>
      </c>
      <c r="H766" s="39" t="s">
        <v>2227</v>
      </c>
      <c r="I766" s="19"/>
      <c r="J766" s="19" t="str">
        <f t="array" ref="J766">IF($I766="","",IFERROR(INDEX(Legend!$C$41:$C$45,MATCH($I766,Legend!$B$41:$B$45,0)),""))</f>
        <v/>
      </c>
      <c r="K766" s="19"/>
    </row>
    <row r="767" ht="15.75" customHeight="1">
      <c r="A767" s="18">
        <v>763.0</v>
      </c>
      <c r="B767" s="19" t="s">
        <v>958</v>
      </c>
      <c r="C767" s="19" t="s">
        <v>2214</v>
      </c>
      <c r="D767" s="19" t="s">
        <v>2228</v>
      </c>
      <c r="E767" s="53" t="s">
        <v>42</v>
      </c>
      <c r="F767" s="31" t="s">
        <v>34</v>
      </c>
      <c r="G767" s="37" t="s">
        <v>49</v>
      </c>
      <c r="H767" s="39"/>
      <c r="I767" s="19"/>
      <c r="J767" s="19" t="str">
        <f t="array" ref="J767">IF($I767="","",IFERROR(INDEX(Legend!$C$41:$C$45,MATCH($I767,Legend!$B$41:$B$45,0)),""))</f>
        <v/>
      </c>
      <c r="K767" s="19"/>
    </row>
    <row r="768" ht="15.75" customHeight="1">
      <c r="A768" s="18">
        <v>764.0</v>
      </c>
      <c r="B768" s="19" t="s">
        <v>958</v>
      </c>
      <c r="C768" s="19" t="s">
        <v>2214</v>
      </c>
      <c r="D768" s="19" t="s">
        <v>2229</v>
      </c>
      <c r="E768" s="53" t="s">
        <v>42</v>
      </c>
      <c r="F768" s="48" t="s">
        <v>77</v>
      </c>
      <c r="G768" s="46" t="s">
        <v>50</v>
      </c>
      <c r="H768" s="39"/>
      <c r="I768" s="19"/>
      <c r="J768" s="19" t="str">
        <f t="array" ref="J768">IF($I768="","",IFERROR(INDEX(Legend!$C$41:$C$45,MATCH($I768,Legend!$B$41:$B$45,0)),""))</f>
        <v/>
      </c>
      <c r="K768" s="19"/>
    </row>
    <row r="769" ht="15.75" customHeight="1">
      <c r="A769" s="18">
        <v>765.0</v>
      </c>
      <c r="B769" s="19" t="s">
        <v>958</v>
      </c>
      <c r="C769" s="19" t="s">
        <v>2214</v>
      </c>
      <c r="D769" s="19" t="s">
        <v>2230</v>
      </c>
      <c r="E769" s="53" t="s">
        <v>42</v>
      </c>
      <c r="F769" s="48" t="s">
        <v>77</v>
      </c>
      <c r="G769" s="46" t="s">
        <v>50</v>
      </c>
      <c r="H769" s="39"/>
      <c r="I769" s="19"/>
      <c r="J769" s="19" t="str">
        <f t="array" ref="J769">IF($I769="","",IFERROR(INDEX(Legend!$C$41:$C$45,MATCH($I769,Legend!$B$41:$B$45,0)),""))</f>
        <v/>
      </c>
      <c r="K769" s="19"/>
    </row>
    <row r="770" ht="15.75" customHeight="1">
      <c r="A770" s="18">
        <v>766.0</v>
      </c>
      <c r="B770" s="19" t="s">
        <v>958</v>
      </c>
      <c r="C770" s="19" t="s">
        <v>2214</v>
      </c>
      <c r="D770" s="19" t="s">
        <v>2231</v>
      </c>
      <c r="E770" s="53" t="s">
        <v>42</v>
      </c>
      <c r="F770" s="31" t="s">
        <v>34</v>
      </c>
      <c r="G770" s="37" t="s">
        <v>49</v>
      </c>
      <c r="H770" s="39" t="s">
        <v>2232</v>
      </c>
      <c r="I770" s="19"/>
      <c r="J770" s="19" t="str">
        <f t="array" ref="J770">IF($I770="","",IFERROR(INDEX(Legend!$C$41:$C$45,MATCH($I770,Legend!$B$41:$B$45,0)),""))</f>
        <v/>
      </c>
      <c r="K770" s="19"/>
    </row>
    <row r="771" ht="15.75" customHeight="1">
      <c r="A771" s="18">
        <v>767.0</v>
      </c>
      <c r="B771" s="19" t="s">
        <v>958</v>
      </c>
      <c r="C771" s="19" t="s">
        <v>2233</v>
      </c>
      <c r="D771" s="19" t="s">
        <v>2234</v>
      </c>
      <c r="E771" s="20" t="s">
        <v>33</v>
      </c>
      <c r="F771" s="31" t="s">
        <v>34</v>
      </c>
      <c r="G771" s="37" t="s">
        <v>49</v>
      </c>
      <c r="H771" s="39"/>
      <c r="I771" s="19"/>
      <c r="J771" s="19" t="str">
        <f t="array" ref="J771">IF($I771="","",IFERROR(INDEX(Legend!$C$41:$C$45,MATCH($I771,Legend!$B$41:$B$45,0)),""))</f>
        <v/>
      </c>
      <c r="K771" s="19"/>
    </row>
    <row r="772" ht="15.75" customHeight="1">
      <c r="A772" s="18">
        <v>768.0</v>
      </c>
      <c r="B772" s="19" t="s">
        <v>958</v>
      </c>
      <c r="C772" s="19" t="s">
        <v>2233</v>
      </c>
      <c r="D772" s="19" t="s">
        <v>2235</v>
      </c>
      <c r="E772" s="20" t="s">
        <v>33</v>
      </c>
      <c r="F772" s="48" t="s">
        <v>77</v>
      </c>
      <c r="G772" s="37" t="s">
        <v>49</v>
      </c>
      <c r="H772" s="39" t="s">
        <v>1906</v>
      </c>
      <c r="I772" s="19"/>
      <c r="J772" s="19" t="str">
        <f t="array" ref="J772">IF($I772="","",IFERROR(INDEX(Legend!$C$41:$C$45,MATCH($I772,Legend!$B$41:$B$45,0)),""))</f>
        <v/>
      </c>
      <c r="K772" s="19"/>
    </row>
    <row r="773" ht="15.75" customHeight="1">
      <c r="A773" s="18">
        <v>769.0</v>
      </c>
      <c r="B773" s="19" t="s">
        <v>958</v>
      </c>
      <c r="C773" s="19" t="s">
        <v>2233</v>
      </c>
      <c r="D773" s="19" t="s">
        <v>2236</v>
      </c>
      <c r="E773" s="53" t="s">
        <v>42</v>
      </c>
      <c r="F773" s="48" t="s">
        <v>77</v>
      </c>
      <c r="G773" s="37" t="s">
        <v>49</v>
      </c>
      <c r="H773" s="39" t="s">
        <v>2237</v>
      </c>
      <c r="I773" s="19"/>
      <c r="J773" s="19" t="str">
        <f t="array" ref="J773">IF($I773="","",IFERROR(INDEX(Legend!$C$41:$C$45,MATCH($I773,Legend!$B$41:$B$45,0)),""))</f>
        <v/>
      </c>
      <c r="K773" s="19"/>
    </row>
    <row r="774" ht="15.75" customHeight="1">
      <c r="A774" s="18">
        <v>770.0</v>
      </c>
      <c r="B774" s="19" t="s">
        <v>958</v>
      </c>
      <c r="C774" s="19" t="s">
        <v>2233</v>
      </c>
      <c r="D774" s="19" t="s">
        <v>2238</v>
      </c>
      <c r="E774" s="53" t="s">
        <v>42</v>
      </c>
      <c r="F774" s="31" t="s">
        <v>34</v>
      </c>
      <c r="G774" s="37" t="s">
        <v>49</v>
      </c>
      <c r="H774" s="39" t="s">
        <v>2239</v>
      </c>
      <c r="I774" s="19"/>
      <c r="J774" s="19" t="str">
        <f t="array" ref="J774">IF($I774="","",IFERROR(INDEX(Legend!$C$41:$C$45,MATCH($I774,Legend!$B$41:$B$45,0)),""))</f>
        <v/>
      </c>
      <c r="K774" s="19"/>
    </row>
    <row r="775" ht="15.75" customHeight="1">
      <c r="A775" s="18">
        <v>771.0</v>
      </c>
      <c r="B775" s="19" t="s">
        <v>958</v>
      </c>
      <c r="C775" s="19" t="s">
        <v>2233</v>
      </c>
      <c r="D775" s="19" t="s">
        <v>2240</v>
      </c>
      <c r="E775" s="53" t="s">
        <v>42</v>
      </c>
      <c r="F775" s="31" t="s">
        <v>34</v>
      </c>
      <c r="G775" s="37" t="s">
        <v>49</v>
      </c>
      <c r="H775" s="39" t="s">
        <v>2241</v>
      </c>
      <c r="I775" s="19"/>
      <c r="J775" s="19" t="str">
        <f t="array" ref="J775">IF($I775="","",IFERROR(INDEX(Legend!$C$41:$C$45,MATCH($I775,Legend!$B$41:$B$45,0)),""))</f>
        <v/>
      </c>
      <c r="K775" s="19"/>
    </row>
    <row r="776" ht="15.75" customHeight="1">
      <c r="A776" s="18">
        <v>772.0</v>
      </c>
      <c r="B776" s="19" t="s">
        <v>958</v>
      </c>
      <c r="C776" s="19" t="s">
        <v>2233</v>
      </c>
      <c r="D776" s="19" t="s">
        <v>2242</v>
      </c>
      <c r="E776" s="53" t="s">
        <v>42</v>
      </c>
      <c r="F776" s="31" t="s">
        <v>34</v>
      </c>
      <c r="G776" s="37" t="s">
        <v>49</v>
      </c>
      <c r="H776" s="39" t="s">
        <v>2243</v>
      </c>
      <c r="I776" s="19"/>
      <c r="J776" s="19" t="str">
        <f t="array" ref="J776">IF($I776="","",IFERROR(INDEX(Legend!$C$41:$C$45,MATCH($I776,Legend!$B$41:$B$45,0)),""))</f>
        <v/>
      </c>
      <c r="K776" s="19"/>
    </row>
    <row r="777" ht="15.75" customHeight="1">
      <c r="A777" s="18">
        <v>773.0</v>
      </c>
      <c r="B777" s="19" t="s">
        <v>958</v>
      </c>
      <c r="C777" s="19" t="s">
        <v>2233</v>
      </c>
      <c r="D777" s="19" t="s">
        <v>2244</v>
      </c>
      <c r="E777" s="53" t="s">
        <v>42</v>
      </c>
      <c r="F777" s="48" t="s">
        <v>77</v>
      </c>
      <c r="G777" s="37" t="s">
        <v>49</v>
      </c>
      <c r="H777" s="39" t="s">
        <v>2245</v>
      </c>
      <c r="I777" s="19"/>
      <c r="J777" s="19" t="str">
        <f t="array" ref="J777">IF($I777="","",IFERROR(INDEX(Legend!$C$41:$C$45,MATCH($I777,Legend!$B$41:$B$45,0)),""))</f>
        <v/>
      </c>
      <c r="K777" s="19"/>
    </row>
    <row r="778" ht="15.75" customHeight="1">
      <c r="A778" s="18">
        <v>774.0</v>
      </c>
      <c r="B778" s="19" t="s">
        <v>958</v>
      </c>
      <c r="C778" s="19" t="s">
        <v>2233</v>
      </c>
      <c r="D778" s="19" t="s">
        <v>2246</v>
      </c>
      <c r="E778" s="53" t="s">
        <v>42</v>
      </c>
      <c r="F778" s="31" t="s">
        <v>34</v>
      </c>
      <c r="G778" s="37" t="s">
        <v>49</v>
      </c>
      <c r="H778" s="39"/>
      <c r="I778" s="19"/>
      <c r="J778" s="19" t="str">
        <f t="array" ref="J778">IF($I778="","",IFERROR(INDEX(Legend!$C$41:$C$45,MATCH($I778,Legend!$B$41:$B$45,0)),""))</f>
        <v/>
      </c>
      <c r="K778" s="19"/>
    </row>
    <row r="779" ht="15.75" customHeight="1">
      <c r="A779" s="18">
        <v>775.0</v>
      </c>
      <c r="B779" s="19" t="s">
        <v>958</v>
      </c>
      <c r="C779" s="19" t="s">
        <v>2233</v>
      </c>
      <c r="D779" s="19" t="s">
        <v>2247</v>
      </c>
      <c r="E779" s="53" t="s">
        <v>42</v>
      </c>
      <c r="F779" s="48" t="s">
        <v>77</v>
      </c>
      <c r="G779" s="37" t="s">
        <v>49</v>
      </c>
      <c r="H779" s="39" t="s">
        <v>2248</v>
      </c>
      <c r="I779" s="19"/>
      <c r="J779" s="19" t="str">
        <f t="array" ref="J779">IF($I779="","",IFERROR(INDEX(Legend!$C$41:$C$45,MATCH($I779,Legend!$B$41:$B$45,0)),""))</f>
        <v/>
      </c>
      <c r="K779" s="19"/>
    </row>
    <row r="780" ht="15.75" customHeight="1">
      <c r="A780" s="18">
        <v>776.0</v>
      </c>
      <c r="B780" s="19" t="s">
        <v>958</v>
      </c>
      <c r="C780" s="19" t="s">
        <v>2233</v>
      </c>
      <c r="D780" s="19" t="s">
        <v>2249</v>
      </c>
      <c r="E780" s="53" t="s">
        <v>42</v>
      </c>
      <c r="F780" s="48" t="s">
        <v>77</v>
      </c>
      <c r="G780" s="37" t="s">
        <v>49</v>
      </c>
      <c r="H780" s="39" t="s">
        <v>1906</v>
      </c>
      <c r="I780" s="19"/>
      <c r="J780" s="19" t="str">
        <f t="array" ref="J780">IF($I780="","",IFERROR(INDEX(Legend!$C$41:$C$45,MATCH($I780,Legend!$B$41:$B$45,0)),""))</f>
        <v/>
      </c>
      <c r="K780" s="19"/>
    </row>
    <row r="781" ht="15.75" customHeight="1">
      <c r="A781" s="18">
        <v>777.0</v>
      </c>
      <c r="B781" s="19" t="s">
        <v>958</v>
      </c>
      <c r="C781" s="19" t="s">
        <v>2233</v>
      </c>
      <c r="D781" s="19" t="s">
        <v>2250</v>
      </c>
      <c r="E781" s="53" t="s">
        <v>42</v>
      </c>
      <c r="F781" s="31" t="s">
        <v>34</v>
      </c>
      <c r="G781" s="37" t="s">
        <v>49</v>
      </c>
      <c r="H781" s="39"/>
      <c r="I781" s="19"/>
      <c r="J781" s="19" t="str">
        <f t="array" ref="J781">IF($I781="","",IFERROR(INDEX(Legend!$C$41:$C$45,MATCH($I781,Legend!$B$41:$B$45,0)),""))</f>
        <v/>
      </c>
      <c r="K781" s="19"/>
    </row>
    <row r="782" ht="15.75" customHeight="1">
      <c r="A782" s="18">
        <v>778.0</v>
      </c>
      <c r="B782" s="19" t="s">
        <v>958</v>
      </c>
      <c r="C782" s="19" t="s">
        <v>2233</v>
      </c>
      <c r="D782" s="19" t="s">
        <v>2251</v>
      </c>
      <c r="E782" s="53" t="s">
        <v>42</v>
      </c>
      <c r="F782" s="31" t="s">
        <v>34</v>
      </c>
      <c r="G782" s="37" t="s">
        <v>49</v>
      </c>
      <c r="H782" s="39" t="s">
        <v>2252</v>
      </c>
      <c r="I782" s="19"/>
      <c r="J782" s="19" t="str">
        <f t="array" ref="J782">IF($I782="","",IFERROR(INDEX(Legend!$C$41:$C$45,MATCH($I782,Legend!$B$41:$B$45,0)),""))</f>
        <v/>
      </c>
      <c r="K782" s="19"/>
    </row>
    <row r="783" ht="15.75" customHeight="1">
      <c r="A783" s="18">
        <v>779.0</v>
      </c>
      <c r="B783" s="19" t="s">
        <v>958</v>
      </c>
      <c r="C783" s="19" t="s">
        <v>2233</v>
      </c>
      <c r="D783" s="19" t="s">
        <v>2253</v>
      </c>
      <c r="E783" s="53" t="s">
        <v>42</v>
      </c>
      <c r="F783" s="31" t="s">
        <v>34</v>
      </c>
      <c r="G783" s="37" t="s">
        <v>49</v>
      </c>
      <c r="H783" s="39" t="s">
        <v>2254</v>
      </c>
      <c r="I783" s="19"/>
      <c r="J783" s="19" t="str">
        <f t="array" ref="J783">IF($I783="","",IFERROR(INDEX(Legend!$C$41:$C$45,MATCH($I783,Legend!$B$41:$B$45,0)),""))</f>
        <v/>
      </c>
      <c r="K783" s="19"/>
    </row>
    <row r="784" ht="15.75" customHeight="1">
      <c r="A784" s="18">
        <v>780.0</v>
      </c>
      <c r="B784" s="19" t="s">
        <v>958</v>
      </c>
      <c r="C784" s="19" t="s">
        <v>2233</v>
      </c>
      <c r="D784" s="19" t="s">
        <v>2255</v>
      </c>
      <c r="E784" s="53" t="s">
        <v>42</v>
      </c>
      <c r="F784" s="31" t="s">
        <v>34</v>
      </c>
      <c r="G784" s="46" t="s">
        <v>50</v>
      </c>
      <c r="H784" s="39" t="s">
        <v>2256</v>
      </c>
      <c r="I784" s="19"/>
      <c r="J784" s="19" t="str">
        <f t="array" ref="J784">IF($I784="","",IFERROR(INDEX(Legend!$C$41:$C$45,MATCH($I784,Legend!$B$41:$B$45,0)),""))</f>
        <v/>
      </c>
      <c r="K784" s="19"/>
    </row>
    <row r="785" ht="15.75" customHeight="1">
      <c r="A785" s="18">
        <v>781.0</v>
      </c>
      <c r="B785" s="19" t="s">
        <v>958</v>
      </c>
      <c r="C785" s="19" t="s">
        <v>2233</v>
      </c>
      <c r="D785" s="19" t="s">
        <v>2257</v>
      </c>
      <c r="E785" s="53" t="s">
        <v>42</v>
      </c>
      <c r="F785" s="48" t="s">
        <v>77</v>
      </c>
      <c r="G785" s="37" t="s">
        <v>49</v>
      </c>
      <c r="H785" s="39" t="s">
        <v>2258</v>
      </c>
      <c r="I785" s="19"/>
      <c r="J785" s="19" t="str">
        <f t="array" ref="J785">IF($I785="","",IFERROR(INDEX(Legend!$C$41:$C$45,MATCH($I785,Legend!$B$41:$B$45,0)),""))</f>
        <v/>
      </c>
      <c r="K785" s="19"/>
    </row>
    <row r="786" ht="15.75" customHeight="1">
      <c r="A786" s="18">
        <v>782.0</v>
      </c>
      <c r="B786" s="19" t="s">
        <v>958</v>
      </c>
      <c r="C786" s="19" t="s">
        <v>2259</v>
      </c>
      <c r="D786" s="19" t="s">
        <v>2260</v>
      </c>
      <c r="E786" s="20" t="s">
        <v>33</v>
      </c>
      <c r="F786" s="31" t="s">
        <v>34</v>
      </c>
      <c r="G786" s="37" t="s">
        <v>49</v>
      </c>
      <c r="H786" s="39"/>
      <c r="I786" s="19"/>
      <c r="J786" s="19" t="str">
        <f t="array" ref="J786">IF($I786="","",IFERROR(INDEX(Legend!$C$41:$C$45,MATCH($I786,Legend!$B$41:$B$45,0)),""))</f>
        <v/>
      </c>
      <c r="K786" s="19"/>
    </row>
    <row r="787" ht="15.75" customHeight="1">
      <c r="A787" s="18">
        <v>783.0</v>
      </c>
      <c r="B787" s="19" t="s">
        <v>958</v>
      </c>
      <c r="C787" s="19" t="s">
        <v>2259</v>
      </c>
      <c r="D787" s="19" t="s">
        <v>2261</v>
      </c>
      <c r="E787" s="20" t="s">
        <v>33</v>
      </c>
      <c r="F787" s="48" t="s">
        <v>77</v>
      </c>
      <c r="G787" s="37" t="s">
        <v>49</v>
      </c>
      <c r="H787" s="39" t="s">
        <v>2262</v>
      </c>
      <c r="I787" s="19"/>
      <c r="J787" s="19" t="str">
        <f t="array" ref="J787">IF($I787="","",IFERROR(INDEX(Legend!$C$41:$C$45,MATCH($I787,Legend!$B$41:$B$45,0)),""))</f>
        <v/>
      </c>
      <c r="K787" s="19"/>
    </row>
    <row r="788" ht="15.75" customHeight="1">
      <c r="A788" s="18">
        <v>784.0</v>
      </c>
      <c r="B788" s="19" t="s">
        <v>958</v>
      </c>
      <c r="C788" s="19" t="s">
        <v>2259</v>
      </c>
      <c r="D788" s="19" t="s">
        <v>2263</v>
      </c>
      <c r="E788" s="53" t="s">
        <v>42</v>
      </c>
      <c r="F788" s="31" t="s">
        <v>34</v>
      </c>
      <c r="G788" s="46" t="s">
        <v>50</v>
      </c>
      <c r="H788" s="39"/>
      <c r="I788" s="19"/>
      <c r="J788" s="19" t="str">
        <f t="array" ref="J788">IF($I788="","",IFERROR(INDEX(Legend!$C$41:$C$45,MATCH($I788,Legend!$B$41:$B$45,0)),""))</f>
        <v/>
      </c>
      <c r="K788" s="19"/>
    </row>
    <row r="789" ht="15.75" customHeight="1">
      <c r="A789" s="18">
        <v>785.0</v>
      </c>
      <c r="B789" s="19" t="s">
        <v>958</v>
      </c>
      <c r="C789" s="19" t="s">
        <v>2259</v>
      </c>
      <c r="D789" s="19" t="s">
        <v>2264</v>
      </c>
      <c r="E789" s="20" t="s">
        <v>33</v>
      </c>
      <c r="F789" s="31" t="s">
        <v>34</v>
      </c>
      <c r="G789" s="37" t="s">
        <v>49</v>
      </c>
      <c r="H789" s="39"/>
      <c r="I789" s="19"/>
      <c r="J789" s="19" t="str">
        <f t="array" ref="J789">IF($I789="","",IFERROR(INDEX(Legend!$C$41:$C$45,MATCH($I789,Legend!$B$41:$B$45,0)),""))</f>
        <v/>
      </c>
      <c r="K789" s="19"/>
    </row>
    <row r="790" ht="15.75" customHeight="1">
      <c r="A790" s="18">
        <v>786.0</v>
      </c>
      <c r="B790" s="19" t="s">
        <v>958</v>
      </c>
      <c r="C790" s="19" t="s">
        <v>2259</v>
      </c>
      <c r="D790" s="19" t="s">
        <v>2265</v>
      </c>
      <c r="E790" s="20" t="s">
        <v>33</v>
      </c>
      <c r="F790" s="48" t="s">
        <v>77</v>
      </c>
      <c r="G790" s="37" t="s">
        <v>49</v>
      </c>
      <c r="H790" s="39"/>
      <c r="I790" s="19"/>
      <c r="J790" s="19" t="str">
        <f t="array" ref="J790">IF($I790="","",IFERROR(INDEX(Legend!$C$41:$C$45,MATCH($I790,Legend!$B$41:$B$45,0)),""))</f>
        <v/>
      </c>
      <c r="K790" s="19"/>
    </row>
    <row r="791" ht="15.75" customHeight="1">
      <c r="A791" s="18">
        <v>787.0</v>
      </c>
      <c r="B791" s="19" t="s">
        <v>958</v>
      </c>
      <c r="C791" s="19" t="s">
        <v>2259</v>
      </c>
      <c r="D791" s="19" t="s">
        <v>2266</v>
      </c>
      <c r="E791" s="53" t="s">
        <v>42</v>
      </c>
      <c r="F791" s="31" t="s">
        <v>34</v>
      </c>
      <c r="G791" s="37" t="s">
        <v>49</v>
      </c>
      <c r="H791" s="39"/>
      <c r="I791" s="19"/>
      <c r="J791" s="19" t="str">
        <f t="array" ref="J791">IF($I791="","",IFERROR(INDEX(Legend!$C$41:$C$45,MATCH($I791,Legend!$B$41:$B$45,0)),""))</f>
        <v/>
      </c>
      <c r="K791" s="19"/>
    </row>
    <row r="792" ht="15.75" customHeight="1">
      <c r="A792" s="18">
        <v>788.0</v>
      </c>
      <c r="B792" s="19" t="s">
        <v>958</v>
      </c>
      <c r="C792" s="19" t="s">
        <v>2259</v>
      </c>
      <c r="D792" s="19" t="s">
        <v>2267</v>
      </c>
      <c r="E792" s="53" t="s">
        <v>42</v>
      </c>
      <c r="F792" s="31" t="s">
        <v>34</v>
      </c>
      <c r="G792" s="37" t="s">
        <v>49</v>
      </c>
      <c r="H792" s="39"/>
      <c r="I792" s="19"/>
      <c r="J792" s="19" t="str">
        <f t="array" ref="J792">IF($I792="","",IFERROR(INDEX(Legend!$C$41:$C$45,MATCH($I792,Legend!$B$41:$B$45,0)),""))</f>
        <v/>
      </c>
      <c r="K792" s="19"/>
    </row>
    <row r="793" ht="15.75" customHeight="1">
      <c r="A793" s="18">
        <v>789.0</v>
      </c>
      <c r="B793" s="19" t="s">
        <v>958</v>
      </c>
      <c r="C793" s="19" t="s">
        <v>2259</v>
      </c>
      <c r="D793" s="19" t="s">
        <v>2268</v>
      </c>
      <c r="E793" s="20" t="s">
        <v>33</v>
      </c>
      <c r="F793" s="31" t="s">
        <v>34</v>
      </c>
      <c r="G793" s="37" t="s">
        <v>49</v>
      </c>
      <c r="H793" s="39"/>
      <c r="I793" s="19"/>
      <c r="J793" s="19" t="str">
        <f t="array" ref="J793">IF($I793="","",IFERROR(INDEX(Legend!$C$41:$C$45,MATCH($I793,Legend!$B$41:$B$45,0)),""))</f>
        <v/>
      </c>
      <c r="K793" s="19"/>
    </row>
    <row r="794" ht="15.75" customHeight="1">
      <c r="A794" s="18">
        <v>790.0</v>
      </c>
      <c r="B794" s="19" t="s">
        <v>958</v>
      </c>
      <c r="C794" s="19" t="s">
        <v>2259</v>
      </c>
      <c r="D794" s="19" t="s">
        <v>2269</v>
      </c>
      <c r="E794" s="53" t="s">
        <v>42</v>
      </c>
      <c r="F794" s="31" t="s">
        <v>34</v>
      </c>
      <c r="G794" s="37" t="s">
        <v>49</v>
      </c>
      <c r="H794" s="39"/>
      <c r="I794" s="19"/>
      <c r="J794" s="19" t="str">
        <f t="array" ref="J794">IF($I794="","",IFERROR(INDEX(Legend!$C$41:$C$45,MATCH($I794,Legend!$B$41:$B$45,0)),""))</f>
        <v/>
      </c>
      <c r="K794" s="19"/>
    </row>
    <row r="795" ht="15.75" customHeight="1">
      <c r="A795" s="18">
        <v>791.0</v>
      </c>
      <c r="B795" s="19" t="s">
        <v>958</v>
      </c>
      <c r="C795" s="19" t="s">
        <v>2270</v>
      </c>
      <c r="D795" s="19" t="s">
        <v>2271</v>
      </c>
      <c r="E795" s="20" t="s">
        <v>33</v>
      </c>
      <c r="F795" s="48" t="s">
        <v>77</v>
      </c>
      <c r="G795" s="37" t="s">
        <v>49</v>
      </c>
      <c r="H795" s="39" t="s">
        <v>2272</v>
      </c>
      <c r="I795" s="19"/>
      <c r="J795" s="19" t="str">
        <f t="array" ref="J795">IF($I795="","",IFERROR(INDEX(Legend!$C$41:$C$45,MATCH($I795,Legend!$B$41:$B$45,0)),""))</f>
        <v/>
      </c>
      <c r="K795" s="19"/>
    </row>
    <row r="796" ht="15.75" customHeight="1">
      <c r="A796" s="18">
        <v>792.0</v>
      </c>
      <c r="B796" s="19" t="s">
        <v>958</v>
      </c>
      <c r="C796" s="19" t="s">
        <v>2270</v>
      </c>
      <c r="D796" s="19" t="s">
        <v>2273</v>
      </c>
      <c r="E796" s="20" t="s">
        <v>33</v>
      </c>
      <c r="F796" s="31" t="s">
        <v>34</v>
      </c>
      <c r="G796" s="37" t="s">
        <v>49</v>
      </c>
      <c r="H796" s="39"/>
      <c r="I796" s="19"/>
      <c r="J796" s="19" t="str">
        <f t="array" ref="J796">IF($I796="","",IFERROR(INDEX(Legend!$C$41:$C$45,MATCH($I796,Legend!$B$41:$B$45,0)),""))</f>
        <v/>
      </c>
      <c r="K796" s="19"/>
    </row>
    <row r="797" ht="15.75" customHeight="1">
      <c r="A797" s="18">
        <v>793.0</v>
      </c>
      <c r="B797" s="19" t="s">
        <v>958</v>
      </c>
      <c r="C797" s="19" t="s">
        <v>2270</v>
      </c>
      <c r="D797" s="19" t="s">
        <v>2274</v>
      </c>
      <c r="E797" s="53" t="s">
        <v>42</v>
      </c>
      <c r="F797" s="31" t="s">
        <v>34</v>
      </c>
      <c r="G797" s="37" t="s">
        <v>49</v>
      </c>
      <c r="H797" s="39" t="s">
        <v>2275</v>
      </c>
      <c r="I797" s="19"/>
      <c r="J797" s="19" t="str">
        <f t="array" ref="J797">IF($I797="","",IFERROR(INDEX(Legend!$C$41:$C$45,MATCH($I797,Legend!$B$41:$B$45,0)),""))</f>
        <v/>
      </c>
      <c r="K797" s="19"/>
    </row>
    <row r="798" ht="15.75" customHeight="1">
      <c r="A798" s="18">
        <v>794.0</v>
      </c>
      <c r="B798" s="19" t="s">
        <v>958</v>
      </c>
      <c r="C798" s="19" t="s">
        <v>2270</v>
      </c>
      <c r="D798" s="19" t="s">
        <v>2276</v>
      </c>
      <c r="E798" s="53" t="s">
        <v>42</v>
      </c>
      <c r="F798" s="31" t="s">
        <v>34</v>
      </c>
      <c r="G798" s="37" t="s">
        <v>49</v>
      </c>
      <c r="H798" s="39"/>
      <c r="I798" s="19"/>
      <c r="J798" s="19" t="str">
        <f t="array" ref="J798">IF($I798="","",IFERROR(INDEX(Legend!$C$41:$C$45,MATCH($I798,Legend!$B$41:$B$45,0)),""))</f>
        <v/>
      </c>
      <c r="K798" s="19"/>
    </row>
    <row r="799" ht="15.75" customHeight="1">
      <c r="A799" s="18">
        <v>795.0</v>
      </c>
      <c r="B799" s="19" t="s">
        <v>958</v>
      </c>
      <c r="C799" s="19" t="s">
        <v>2270</v>
      </c>
      <c r="D799" s="19" t="s">
        <v>2277</v>
      </c>
      <c r="E799" s="20" t="s">
        <v>33</v>
      </c>
      <c r="F799" s="48" t="s">
        <v>77</v>
      </c>
      <c r="G799" s="37" t="s">
        <v>49</v>
      </c>
      <c r="H799" s="39" t="s">
        <v>1906</v>
      </c>
      <c r="I799" s="19"/>
      <c r="J799" s="19" t="str">
        <f t="array" ref="J799">IF($I799="","",IFERROR(INDEX(Legend!$C$41:$C$45,MATCH($I799,Legend!$B$41:$B$45,0)),""))</f>
        <v/>
      </c>
      <c r="K799" s="19"/>
    </row>
    <row r="800" ht="15.75" customHeight="1">
      <c r="A800" s="18">
        <v>796.0</v>
      </c>
      <c r="B800" s="19" t="s">
        <v>958</v>
      </c>
      <c r="C800" s="19" t="s">
        <v>2270</v>
      </c>
      <c r="D800" s="19" t="s">
        <v>2278</v>
      </c>
      <c r="E800" s="53" t="s">
        <v>42</v>
      </c>
      <c r="F800" s="48" t="s">
        <v>77</v>
      </c>
      <c r="G800" s="37" t="s">
        <v>49</v>
      </c>
      <c r="H800" s="39" t="s">
        <v>2279</v>
      </c>
      <c r="I800" s="19"/>
      <c r="J800" s="19" t="str">
        <f t="array" ref="J800">IF($I800="","",IFERROR(INDEX(Legend!$C$41:$C$45,MATCH($I800,Legend!$B$41:$B$45,0)),""))</f>
        <v/>
      </c>
      <c r="K800" s="19"/>
    </row>
    <row r="801" ht="15.75" customHeight="1">
      <c r="A801" s="18">
        <v>797.0</v>
      </c>
      <c r="B801" s="19" t="s">
        <v>958</v>
      </c>
      <c r="C801" s="19" t="s">
        <v>2270</v>
      </c>
      <c r="D801" s="19" t="s">
        <v>2280</v>
      </c>
      <c r="E801" s="53" t="s">
        <v>42</v>
      </c>
      <c r="F801" s="31" t="s">
        <v>34</v>
      </c>
      <c r="G801" s="37" t="s">
        <v>49</v>
      </c>
      <c r="H801" s="39"/>
      <c r="I801" s="19"/>
      <c r="J801" s="19" t="str">
        <f t="array" ref="J801">IF($I801="","",IFERROR(INDEX(Legend!$C$41:$C$45,MATCH($I801,Legend!$B$41:$B$45,0)),""))</f>
        <v/>
      </c>
      <c r="K801" s="19"/>
    </row>
    <row r="802" ht="15.75" customHeight="1">
      <c r="A802" s="18">
        <v>798.0</v>
      </c>
      <c r="B802" s="19" t="s">
        <v>958</v>
      </c>
      <c r="C802" s="19" t="s">
        <v>2270</v>
      </c>
      <c r="D802" s="19" t="s">
        <v>2281</v>
      </c>
      <c r="E802" s="53" t="s">
        <v>42</v>
      </c>
      <c r="F802" s="31" t="s">
        <v>34</v>
      </c>
      <c r="G802" s="37" t="s">
        <v>49</v>
      </c>
      <c r="H802" s="39"/>
      <c r="I802" s="19"/>
      <c r="J802" s="19" t="str">
        <f t="array" ref="J802">IF($I802="","",IFERROR(INDEX(Legend!$C$41:$C$45,MATCH($I802,Legend!$B$41:$B$45,0)),""))</f>
        <v/>
      </c>
      <c r="K802" s="19"/>
    </row>
    <row r="803" ht="15.75" customHeight="1">
      <c r="A803" s="18">
        <v>799.0</v>
      </c>
      <c r="B803" s="19" t="s">
        <v>958</v>
      </c>
      <c r="C803" s="19" t="s">
        <v>2270</v>
      </c>
      <c r="D803" s="19" t="s">
        <v>2282</v>
      </c>
      <c r="E803" s="53" t="s">
        <v>42</v>
      </c>
      <c r="F803" s="48" t="s">
        <v>77</v>
      </c>
      <c r="G803" s="37" t="s">
        <v>49</v>
      </c>
      <c r="H803" s="39" t="s">
        <v>2283</v>
      </c>
      <c r="I803" s="19"/>
      <c r="J803" s="19" t="str">
        <f t="array" ref="J803">IF($I803="","",IFERROR(INDEX(Legend!$C$41:$C$45,MATCH($I803,Legend!$B$41:$B$45,0)),""))</f>
        <v/>
      </c>
      <c r="K803" s="19"/>
    </row>
    <row r="804" ht="15.75" customHeight="1">
      <c r="A804" s="18">
        <v>800.0</v>
      </c>
      <c r="B804" s="19" t="s">
        <v>958</v>
      </c>
      <c r="C804" s="19" t="s">
        <v>2270</v>
      </c>
      <c r="D804" s="19" t="s">
        <v>2284</v>
      </c>
      <c r="E804" s="53" t="s">
        <v>42</v>
      </c>
      <c r="F804" s="31" t="s">
        <v>34</v>
      </c>
      <c r="G804" s="46" t="s">
        <v>50</v>
      </c>
      <c r="H804" s="39"/>
      <c r="I804" s="19"/>
      <c r="J804" s="19" t="str">
        <f t="array" ref="J804">IF($I804="","",IFERROR(INDEX(Legend!$C$41:$C$45,MATCH($I804,Legend!$B$41:$B$45,0)),""))</f>
        <v/>
      </c>
      <c r="K804" s="19"/>
    </row>
    <row r="805" ht="15.75" customHeight="1">
      <c r="A805" s="18">
        <v>801.0</v>
      </c>
      <c r="B805" s="19" t="s">
        <v>958</v>
      </c>
      <c r="C805" s="19" t="s">
        <v>2270</v>
      </c>
      <c r="D805" s="19" t="s">
        <v>2285</v>
      </c>
      <c r="E805" s="53" t="s">
        <v>42</v>
      </c>
      <c r="F805" s="31" t="s">
        <v>34</v>
      </c>
      <c r="G805" s="37" t="s">
        <v>49</v>
      </c>
      <c r="H805" s="39"/>
      <c r="I805" s="19"/>
      <c r="J805" s="19" t="str">
        <f t="array" ref="J805">IF($I805="","",IFERROR(INDEX(Legend!$C$41:$C$45,MATCH($I805,Legend!$B$41:$B$45,0)),""))</f>
        <v/>
      </c>
      <c r="K805" s="19"/>
    </row>
    <row r="806" ht="15.75" customHeight="1">
      <c r="A806" s="18">
        <v>802.0</v>
      </c>
      <c r="B806" s="19" t="s">
        <v>958</v>
      </c>
      <c r="C806" s="19" t="s">
        <v>2270</v>
      </c>
      <c r="D806" s="19" t="s">
        <v>2286</v>
      </c>
      <c r="E806" s="53" t="s">
        <v>42</v>
      </c>
      <c r="F806" s="31" t="s">
        <v>34</v>
      </c>
      <c r="G806" s="37" t="s">
        <v>49</v>
      </c>
      <c r="H806" s="39"/>
      <c r="I806" s="19"/>
      <c r="J806" s="19" t="str">
        <f t="array" ref="J806">IF($I806="","",IFERROR(INDEX(Legend!$C$41:$C$45,MATCH($I806,Legend!$B$41:$B$45,0)),""))</f>
        <v/>
      </c>
      <c r="K806" s="19"/>
    </row>
    <row r="807" ht="15.75" customHeight="1">
      <c r="A807" s="18">
        <v>803.0</v>
      </c>
      <c r="B807" s="19" t="s">
        <v>958</v>
      </c>
      <c r="C807" s="19" t="s">
        <v>2270</v>
      </c>
      <c r="D807" s="19" t="s">
        <v>2287</v>
      </c>
      <c r="E807" s="53" t="s">
        <v>42</v>
      </c>
      <c r="F807" s="31" t="s">
        <v>34</v>
      </c>
      <c r="G807" s="46" t="s">
        <v>50</v>
      </c>
      <c r="H807" s="39"/>
      <c r="I807" s="19"/>
      <c r="J807" s="19" t="str">
        <f t="array" ref="J807">IF($I807="","",IFERROR(INDEX(Legend!$C$41:$C$45,MATCH($I807,Legend!$B$41:$B$45,0)),""))</f>
        <v/>
      </c>
      <c r="K807" s="19"/>
    </row>
    <row r="808" ht="15.75" customHeight="1">
      <c r="A808" s="18">
        <v>804.0</v>
      </c>
      <c r="B808" s="19" t="s">
        <v>958</v>
      </c>
      <c r="C808" s="19" t="s">
        <v>2270</v>
      </c>
      <c r="D808" s="19" t="s">
        <v>2288</v>
      </c>
      <c r="E808" s="53" t="s">
        <v>42</v>
      </c>
      <c r="F808" s="54" t="s">
        <v>46</v>
      </c>
      <c r="G808" s="46" t="s">
        <v>50</v>
      </c>
      <c r="H808" s="39" t="s">
        <v>2289</v>
      </c>
      <c r="I808" s="19"/>
      <c r="J808" s="19" t="str">
        <f t="array" ref="J808">IF($I808="","",IFERROR(INDEX(Legend!$C$41:$C$45,MATCH($I808,Legend!$B$41:$B$45,0)),""))</f>
        <v/>
      </c>
      <c r="K808" s="19"/>
    </row>
    <row r="809" ht="15.75" customHeight="1">
      <c r="A809" s="18">
        <v>805.0</v>
      </c>
      <c r="B809" s="19" t="s">
        <v>958</v>
      </c>
      <c r="C809" s="19" t="s">
        <v>2290</v>
      </c>
      <c r="D809" s="19" t="s">
        <v>2291</v>
      </c>
      <c r="E809" s="20" t="s">
        <v>33</v>
      </c>
      <c r="F809" s="31" t="s">
        <v>34</v>
      </c>
      <c r="G809" s="37" t="s">
        <v>49</v>
      </c>
      <c r="H809" s="39"/>
      <c r="I809" s="19"/>
      <c r="J809" s="19" t="str">
        <f t="array" ref="J809">IF($I809="","",IFERROR(INDEX(Legend!$C$41:$C$45,MATCH($I809,Legend!$B$41:$B$45,0)),""))</f>
        <v/>
      </c>
      <c r="K809" s="19"/>
    </row>
    <row r="810" ht="15.75" customHeight="1">
      <c r="A810" s="18">
        <v>806.0</v>
      </c>
      <c r="B810" s="19" t="s">
        <v>958</v>
      </c>
      <c r="C810" s="19" t="s">
        <v>2290</v>
      </c>
      <c r="D810" s="19" t="s">
        <v>2292</v>
      </c>
      <c r="E810" s="53" t="s">
        <v>42</v>
      </c>
      <c r="F810" s="48" t="s">
        <v>77</v>
      </c>
      <c r="G810" s="37" t="s">
        <v>49</v>
      </c>
      <c r="H810" s="39" t="s">
        <v>2293</v>
      </c>
      <c r="I810" s="19"/>
      <c r="J810" s="19" t="str">
        <f t="array" ref="J810">IF($I810="","",IFERROR(INDEX(Legend!$C$41:$C$45,MATCH($I810,Legend!$B$41:$B$45,0)),""))</f>
        <v/>
      </c>
      <c r="K810" s="19"/>
    </row>
    <row r="811" ht="15.75" customHeight="1">
      <c r="A811" s="18">
        <v>807.0</v>
      </c>
      <c r="B811" s="19" t="s">
        <v>958</v>
      </c>
      <c r="C811" s="19" t="s">
        <v>2290</v>
      </c>
      <c r="D811" s="19" t="s">
        <v>2294</v>
      </c>
      <c r="E811" s="53" t="s">
        <v>42</v>
      </c>
      <c r="F811" s="48" t="s">
        <v>77</v>
      </c>
      <c r="G811" s="37" t="s">
        <v>49</v>
      </c>
      <c r="H811" s="39" t="s">
        <v>2295</v>
      </c>
      <c r="I811" s="19"/>
      <c r="J811" s="19" t="str">
        <f t="array" ref="J811">IF($I811="","",IFERROR(INDEX(Legend!$C$41:$C$45,MATCH($I811,Legend!$B$41:$B$45,0)),""))</f>
        <v/>
      </c>
      <c r="K811" s="19"/>
    </row>
    <row r="812" ht="15.75" customHeight="1">
      <c r="A812" s="18">
        <v>808.0</v>
      </c>
      <c r="B812" s="19" t="s">
        <v>958</v>
      </c>
      <c r="C812" s="19" t="s">
        <v>2290</v>
      </c>
      <c r="D812" s="19" t="s">
        <v>2296</v>
      </c>
      <c r="E812" s="53" t="s">
        <v>42</v>
      </c>
      <c r="F812" s="31" t="s">
        <v>34</v>
      </c>
      <c r="G812" s="37" t="s">
        <v>49</v>
      </c>
      <c r="H812" s="39"/>
      <c r="I812" s="19"/>
      <c r="J812" s="19" t="str">
        <f t="array" ref="J812">IF($I812="","",IFERROR(INDEX(Legend!$C$41:$C$45,MATCH($I812,Legend!$B$41:$B$45,0)),""))</f>
        <v/>
      </c>
      <c r="K812" s="19"/>
    </row>
    <row r="813" ht="15.75" customHeight="1">
      <c r="A813" s="18">
        <v>809.0</v>
      </c>
      <c r="B813" s="19" t="s">
        <v>958</v>
      </c>
      <c r="C813" s="19" t="s">
        <v>2290</v>
      </c>
      <c r="D813" s="19" t="s">
        <v>2297</v>
      </c>
      <c r="E813" s="53" t="s">
        <v>42</v>
      </c>
      <c r="F813" s="31" t="s">
        <v>34</v>
      </c>
      <c r="G813" s="37" t="s">
        <v>49</v>
      </c>
      <c r="H813" s="39" t="s">
        <v>2298</v>
      </c>
      <c r="I813" s="19"/>
      <c r="J813" s="19" t="str">
        <f t="array" ref="J813">IF($I813="","",IFERROR(INDEX(Legend!$C$41:$C$45,MATCH($I813,Legend!$B$41:$B$45,0)),""))</f>
        <v/>
      </c>
      <c r="K813" s="19"/>
    </row>
    <row r="814" ht="15.75" customHeight="1">
      <c r="A814" s="18">
        <v>810.0</v>
      </c>
      <c r="B814" s="19" t="s">
        <v>958</v>
      </c>
      <c r="C814" s="19" t="s">
        <v>2290</v>
      </c>
      <c r="D814" s="19" t="s">
        <v>2299</v>
      </c>
      <c r="E814" s="53" t="s">
        <v>42</v>
      </c>
      <c r="F814" s="48" t="s">
        <v>77</v>
      </c>
      <c r="G814" s="37" t="s">
        <v>49</v>
      </c>
      <c r="H814" s="39"/>
      <c r="I814" s="19"/>
      <c r="J814" s="19" t="str">
        <f t="array" ref="J814">IF($I814="","",IFERROR(INDEX(Legend!$C$41:$C$45,MATCH($I814,Legend!$B$41:$B$45,0)),""))</f>
        <v/>
      </c>
      <c r="K814" s="19"/>
    </row>
    <row r="815" ht="15.75" customHeight="1">
      <c r="A815" s="18">
        <v>811.0</v>
      </c>
      <c r="B815" s="19" t="s">
        <v>958</v>
      </c>
      <c r="C815" s="19" t="s">
        <v>2290</v>
      </c>
      <c r="D815" s="19" t="s">
        <v>2300</v>
      </c>
      <c r="E815" s="53" t="s">
        <v>42</v>
      </c>
      <c r="F815" s="31" t="s">
        <v>34</v>
      </c>
      <c r="G815" s="37" t="s">
        <v>49</v>
      </c>
      <c r="H815" s="39" t="s">
        <v>2301</v>
      </c>
      <c r="I815" s="19"/>
      <c r="J815" s="19" t="str">
        <f t="array" ref="J815">IF($I815="","",IFERROR(INDEX(Legend!$C$41:$C$45,MATCH($I815,Legend!$B$41:$B$45,0)),""))</f>
        <v/>
      </c>
      <c r="K815" s="19"/>
    </row>
    <row r="816" ht="15.75" customHeight="1">
      <c r="A816" s="18">
        <v>812.0</v>
      </c>
      <c r="B816" s="19" t="s">
        <v>958</v>
      </c>
      <c r="C816" s="19" t="s">
        <v>2290</v>
      </c>
      <c r="D816" s="19" t="s">
        <v>2302</v>
      </c>
      <c r="E816" s="53" t="s">
        <v>42</v>
      </c>
      <c r="F816" s="31" t="s">
        <v>34</v>
      </c>
      <c r="G816" s="37" t="s">
        <v>49</v>
      </c>
      <c r="H816" s="39"/>
      <c r="I816" s="19"/>
      <c r="J816" s="19" t="str">
        <f t="array" ref="J816">IF($I816="","",IFERROR(INDEX(Legend!$C$41:$C$45,MATCH($I816,Legend!$B$41:$B$45,0)),""))</f>
        <v/>
      </c>
      <c r="K816" s="19"/>
    </row>
    <row r="817" ht="15.75" customHeight="1">
      <c r="A817" s="18">
        <v>813.0</v>
      </c>
      <c r="B817" s="19" t="s">
        <v>958</v>
      </c>
      <c r="C817" s="19" t="s">
        <v>2290</v>
      </c>
      <c r="D817" s="19" t="s">
        <v>2303</v>
      </c>
      <c r="E817" s="53" t="s">
        <v>42</v>
      </c>
      <c r="F817" s="31" t="s">
        <v>34</v>
      </c>
      <c r="G817" s="37" t="s">
        <v>49</v>
      </c>
      <c r="H817" s="39" t="s">
        <v>2304</v>
      </c>
      <c r="I817" s="19"/>
      <c r="J817" s="19" t="str">
        <f t="array" ref="J817">IF($I817="","",IFERROR(INDEX(Legend!$C$41:$C$45,MATCH($I817,Legend!$B$41:$B$45,0)),""))</f>
        <v/>
      </c>
      <c r="K817" s="19"/>
    </row>
    <row r="818" ht="15.75" customHeight="1">
      <c r="A818" s="18">
        <v>814.0</v>
      </c>
      <c r="B818" s="19" t="s">
        <v>958</v>
      </c>
      <c r="C818" s="19" t="s">
        <v>2290</v>
      </c>
      <c r="D818" s="19" t="s">
        <v>2305</v>
      </c>
      <c r="E818" s="53" t="s">
        <v>42</v>
      </c>
      <c r="F818" s="48" t="s">
        <v>77</v>
      </c>
      <c r="G818" s="37" t="s">
        <v>49</v>
      </c>
      <c r="H818" s="39" t="s">
        <v>2306</v>
      </c>
      <c r="I818" s="19"/>
      <c r="J818" s="19" t="str">
        <f t="array" ref="J818">IF($I818="","",IFERROR(INDEX(Legend!$C$41:$C$45,MATCH($I818,Legend!$B$41:$B$45,0)),""))</f>
        <v/>
      </c>
      <c r="K818" s="19"/>
    </row>
    <row r="819" ht="15.75" customHeight="1">
      <c r="A819" s="18">
        <v>815.0</v>
      </c>
      <c r="B819" s="19" t="s">
        <v>958</v>
      </c>
      <c r="C819" s="19" t="s">
        <v>2290</v>
      </c>
      <c r="D819" s="19" t="s">
        <v>2307</v>
      </c>
      <c r="E819" s="53" t="s">
        <v>42</v>
      </c>
      <c r="F819" s="31" t="s">
        <v>34</v>
      </c>
      <c r="G819" s="46" t="s">
        <v>50</v>
      </c>
      <c r="H819" s="39"/>
      <c r="I819" s="19"/>
      <c r="J819" s="19" t="str">
        <f t="array" ref="J819">IF($I819="","",IFERROR(INDEX(Legend!$C$41:$C$45,MATCH($I819,Legend!$B$41:$B$45,0)),""))</f>
        <v/>
      </c>
      <c r="K819" s="19"/>
    </row>
    <row r="820" ht="15.75" customHeight="1">
      <c r="A820" s="18">
        <v>816.0</v>
      </c>
      <c r="B820" s="19" t="s">
        <v>958</v>
      </c>
      <c r="C820" s="19" t="s">
        <v>2290</v>
      </c>
      <c r="D820" s="19" t="s">
        <v>2308</v>
      </c>
      <c r="E820" s="53" t="s">
        <v>42</v>
      </c>
      <c r="F820" s="31" t="s">
        <v>34</v>
      </c>
      <c r="G820" s="37" t="s">
        <v>49</v>
      </c>
      <c r="H820" s="39"/>
      <c r="I820" s="19"/>
      <c r="J820" s="19" t="str">
        <f t="array" ref="J820">IF($I820="","",IFERROR(INDEX(Legend!$C$41:$C$45,MATCH($I820,Legend!$B$41:$B$45,0)),""))</f>
        <v/>
      </c>
      <c r="K820" s="19"/>
    </row>
    <row r="821" ht="15.75" customHeight="1">
      <c r="A821" s="18">
        <v>817.0</v>
      </c>
      <c r="B821" s="19" t="s">
        <v>958</v>
      </c>
      <c r="C821" s="19" t="s">
        <v>2309</v>
      </c>
      <c r="D821" s="19" t="s">
        <v>2310</v>
      </c>
      <c r="E821" s="53" t="s">
        <v>42</v>
      </c>
      <c r="F821" s="48" t="s">
        <v>77</v>
      </c>
      <c r="G821" s="37" t="s">
        <v>49</v>
      </c>
      <c r="H821" s="39" t="s">
        <v>2311</v>
      </c>
      <c r="I821" s="19"/>
      <c r="J821" s="19" t="str">
        <f t="array" ref="J821">IF($I821="","",IFERROR(INDEX(Legend!$C$41:$C$45,MATCH($I821,Legend!$B$41:$B$45,0)),""))</f>
        <v/>
      </c>
      <c r="K821" s="19"/>
    </row>
    <row r="822" ht="15.75" customHeight="1">
      <c r="A822" s="18">
        <v>818.0</v>
      </c>
      <c r="B822" s="19" t="s">
        <v>958</v>
      </c>
      <c r="C822" s="19" t="s">
        <v>2309</v>
      </c>
      <c r="D822" s="19" t="s">
        <v>2312</v>
      </c>
      <c r="E822" s="20" t="s">
        <v>33</v>
      </c>
      <c r="F822" s="31" t="s">
        <v>34</v>
      </c>
      <c r="G822" s="37" t="s">
        <v>49</v>
      </c>
      <c r="H822" s="39"/>
      <c r="I822" s="19"/>
      <c r="J822" s="19" t="str">
        <f t="array" ref="J822">IF($I822="","",IFERROR(INDEX(Legend!$C$41:$C$45,MATCH($I822,Legend!$B$41:$B$45,0)),""))</f>
        <v/>
      </c>
      <c r="K822" s="19"/>
    </row>
    <row r="823" ht="15.75" customHeight="1">
      <c r="A823" s="18">
        <v>819.0</v>
      </c>
      <c r="B823" s="19" t="s">
        <v>958</v>
      </c>
      <c r="C823" s="19" t="s">
        <v>2309</v>
      </c>
      <c r="D823" s="19" t="s">
        <v>2313</v>
      </c>
      <c r="E823" s="20" t="s">
        <v>33</v>
      </c>
      <c r="F823" s="31" t="s">
        <v>34</v>
      </c>
      <c r="G823" s="37" t="s">
        <v>49</v>
      </c>
      <c r="H823" s="39"/>
      <c r="I823" s="19"/>
      <c r="J823" s="19" t="str">
        <f t="array" ref="J823">IF($I823="","",IFERROR(INDEX(Legend!$C$41:$C$45,MATCH($I823,Legend!$B$41:$B$45,0)),""))</f>
        <v/>
      </c>
      <c r="K823" s="19"/>
    </row>
    <row r="824" ht="15.75" customHeight="1">
      <c r="A824" s="18">
        <v>820.0</v>
      </c>
      <c r="B824" s="19" t="s">
        <v>958</v>
      </c>
      <c r="C824" s="19" t="s">
        <v>2309</v>
      </c>
      <c r="D824" s="19" t="s">
        <v>2314</v>
      </c>
      <c r="E824" s="53" t="s">
        <v>42</v>
      </c>
      <c r="F824" s="31" t="s">
        <v>34</v>
      </c>
      <c r="G824" s="37" t="s">
        <v>49</v>
      </c>
      <c r="H824" s="39"/>
      <c r="I824" s="19"/>
      <c r="J824" s="19" t="str">
        <f t="array" ref="J824">IF($I824="","",IFERROR(INDEX(Legend!$C$41:$C$45,MATCH($I824,Legend!$B$41:$B$45,0)),""))</f>
        <v/>
      </c>
      <c r="K824" s="19"/>
    </row>
    <row r="825" ht="15.75" customHeight="1">
      <c r="A825" s="18">
        <v>821.0</v>
      </c>
      <c r="B825" s="19" t="s">
        <v>958</v>
      </c>
      <c r="C825" s="19" t="s">
        <v>2309</v>
      </c>
      <c r="D825" s="19" t="s">
        <v>2315</v>
      </c>
      <c r="E825" s="53" t="s">
        <v>42</v>
      </c>
      <c r="F825" s="31" t="s">
        <v>34</v>
      </c>
      <c r="G825" s="37" t="s">
        <v>49</v>
      </c>
      <c r="H825" s="39"/>
      <c r="I825" s="19"/>
      <c r="J825" s="19" t="str">
        <f t="array" ref="J825">IF($I825="","",IFERROR(INDEX(Legend!$C$41:$C$45,MATCH($I825,Legend!$B$41:$B$45,0)),""))</f>
        <v/>
      </c>
      <c r="K825" s="19"/>
    </row>
    <row r="826" ht="15.75" customHeight="1">
      <c r="A826" s="18">
        <v>822.0</v>
      </c>
      <c r="B826" s="19" t="s">
        <v>958</v>
      </c>
      <c r="C826" s="19" t="s">
        <v>2309</v>
      </c>
      <c r="D826" s="19" t="s">
        <v>2316</v>
      </c>
      <c r="E826" s="53" t="s">
        <v>42</v>
      </c>
      <c r="F826" s="31" t="s">
        <v>34</v>
      </c>
      <c r="G826" s="37" t="s">
        <v>49</v>
      </c>
      <c r="H826" s="39"/>
      <c r="I826" s="19"/>
      <c r="J826" s="19" t="str">
        <f t="array" ref="J826">IF($I826="","",IFERROR(INDEX(Legend!$C$41:$C$45,MATCH($I826,Legend!$B$41:$B$45,0)),""))</f>
        <v/>
      </c>
      <c r="K826" s="19"/>
    </row>
    <row r="827" ht="15.75" customHeight="1">
      <c r="A827" s="18">
        <v>823.0</v>
      </c>
      <c r="B827" s="19" t="s">
        <v>958</v>
      </c>
      <c r="C827" s="19" t="s">
        <v>2309</v>
      </c>
      <c r="D827" s="19" t="s">
        <v>2317</v>
      </c>
      <c r="E827" s="53" t="s">
        <v>42</v>
      </c>
      <c r="F827" s="31" t="s">
        <v>34</v>
      </c>
      <c r="G827" s="37" t="s">
        <v>49</v>
      </c>
      <c r="H827" s="39"/>
      <c r="I827" s="19"/>
      <c r="J827" s="19" t="str">
        <f t="array" ref="J827">IF($I827="","",IFERROR(INDEX(Legend!$C$41:$C$45,MATCH($I827,Legend!$B$41:$B$45,0)),""))</f>
        <v/>
      </c>
      <c r="K827" s="19"/>
    </row>
    <row r="828" ht="15.75" customHeight="1">
      <c r="A828" s="18">
        <v>824.0</v>
      </c>
      <c r="B828" s="19" t="s">
        <v>958</v>
      </c>
      <c r="C828" s="19" t="s">
        <v>2309</v>
      </c>
      <c r="D828" s="19" t="s">
        <v>2318</v>
      </c>
      <c r="E828" s="53" t="s">
        <v>42</v>
      </c>
      <c r="F828" s="31" t="s">
        <v>34</v>
      </c>
      <c r="G828" s="37" t="s">
        <v>49</v>
      </c>
      <c r="H828" s="39"/>
      <c r="I828" s="19"/>
      <c r="J828" s="19" t="str">
        <f t="array" ref="J828">IF($I828="","",IFERROR(INDEX(Legend!$C$41:$C$45,MATCH($I828,Legend!$B$41:$B$45,0)),""))</f>
        <v/>
      </c>
      <c r="K828" s="19"/>
    </row>
    <row r="829" ht="15.75" customHeight="1">
      <c r="A829" s="18">
        <v>825.0</v>
      </c>
      <c r="B829" s="19" t="s">
        <v>958</v>
      </c>
      <c r="C829" s="19" t="s">
        <v>2309</v>
      </c>
      <c r="D829" s="19" t="s">
        <v>2319</v>
      </c>
      <c r="E829" s="53" t="s">
        <v>42</v>
      </c>
      <c r="F829" s="31" t="s">
        <v>34</v>
      </c>
      <c r="G829" s="46" t="s">
        <v>50</v>
      </c>
      <c r="H829" s="39"/>
      <c r="I829" s="19"/>
      <c r="J829" s="19" t="str">
        <f t="array" ref="J829">IF($I829="","",IFERROR(INDEX(Legend!$C$41:$C$45,MATCH($I829,Legend!$B$41:$B$45,0)),""))</f>
        <v/>
      </c>
      <c r="K829" s="19"/>
    </row>
    <row r="830" ht="15.75" customHeight="1">
      <c r="A830" s="18">
        <v>826.0</v>
      </c>
      <c r="B830" s="19" t="s">
        <v>958</v>
      </c>
      <c r="C830" s="19" t="s">
        <v>2309</v>
      </c>
      <c r="D830" s="19" t="s">
        <v>2320</v>
      </c>
      <c r="E830" s="53" t="s">
        <v>42</v>
      </c>
      <c r="F830" s="31" t="s">
        <v>34</v>
      </c>
      <c r="G830" s="46" t="s">
        <v>50</v>
      </c>
      <c r="H830" s="39"/>
      <c r="I830" s="19"/>
      <c r="J830" s="19" t="str">
        <f t="array" ref="J830">IF($I830="","",IFERROR(INDEX(Legend!$C$41:$C$45,MATCH($I830,Legend!$B$41:$B$45,0)),""))</f>
        <v/>
      </c>
      <c r="K830" s="19"/>
    </row>
    <row r="831" ht="15.75" customHeight="1">
      <c r="A831" s="18">
        <v>827.0</v>
      </c>
      <c r="B831" s="19" t="s">
        <v>958</v>
      </c>
      <c r="C831" s="19" t="s">
        <v>2309</v>
      </c>
      <c r="D831" s="19" t="s">
        <v>2321</v>
      </c>
      <c r="E831" s="53" t="s">
        <v>42</v>
      </c>
      <c r="F831" s="31" t="s">
        <v>34</v>
      </c>
      <c r="G831" s="46" t="s">
        <v>50</v>
      </c>
      <c r="H831" s="39" t="s">
        <v>2322</v>
      </c>
      <c r="I831" s="19"/>
      <c r="J831" s="19" t="str">
        <f t="array" ref="J831">IF($I831="","",IFERROR(INDEX(Legend!$C$41:$C$45,MATCH($I831,Legend!$B$41:$B$45,0)),""))</f>
        <v/>
      </c>
      <c r="K831" s="19"/>
    </row>
    <row r="832" ht="15.75" customHeight="1">
      <c r="A832" s="18">
        <v>828.0</v>
      </c>
      <c r="B832" s="19" t="s">
        <v>958</v>
      </c>
      <c r="C832" s="19" t="s">
        <v>2309</v>
      </c>
      <c r="D832" s="19" t="s">
        <v>2323</v>
      </c>
      <c r="E832" s="53" t="s">
        <v>42</v>
      </c>
      <c r="F832" s="31" t="s">
        <v>34</v>
      </c>
      <c r="G832" s="46" t="s">
        <v>50</v>
      </c>
      <c r="H832" s="39" t="s">
        <v>2324</v>
      </c>
      <c r="I832" s="19"/>
      <c r="J832" s="19" t="str">
        <f t="array" ref="J832">IF($I832="","",IFERROR(INDEX(Legend!$C$41:$C$45,MATCH($I832,Legend!$B$41:$B$45,0)),""))</f>
        <v/>
      </c>
      <c r="K832" s="19"/>
    </row>
    <row r="833" ht="15.75" customHeight="1">
      <c r="A833" s="18">
        <v>829.0</v>
      </c>
      <c r="B833" s="19" t="s">
        <v>958</v>
      </c>
      <c r="C833" s="19" t="s">
        <v>2309</v>
      </c>
      <c r="D833" s="19" t="s">
        <v>2325</v>
      </c>
      <c r="E833" s="53" t="s">
        <v>42</v>
      </c>
      <c r="F833" s="31" t="s">
        <v>34</v>
      </c>
      <c r="G833" s="46" t="s">
        <v>50</v>
      </c>
      <c r="H833" s="39" t="s">
        <v>2326</v>
      </c>
      <c r="I833" s="19"/>
      <c r="J833" s="19" t="str">
        <f t="array" ref="J833">IF($I833="","",IFERROR(INDEX(Legend!$C$41:$C$45,MATCH($I833,Legend!$B$41:$B$45,0)),""))</f>
        <v/>
      </c>
      <c r="K833" s="19"/>
    </row>
    <row r="834" ht="15.75" customHeight="1">
      <c r="A834" s="18">
        <v>830.0</v>
      </c>
      <c r="B834" s="19" t="s">
        <v>958</v>
      </c>
      <c r="C834" s="19" t="s">
        <v>2309</v>
      </c>
      <c r="D834" s="19" t="s">
        <v>2327</v>
      </c>
      <c r="E834" s="53" t="s">
        <v>42</v>
      </c>
      <c r="F834" s="31" t="s">
        <v>34</v>
      </c>
      <c r="G834" s="46" t="s">
        <v>50</v>
      </c>
      <c r="H834" s="39" t="s">
        <v>2328</v>
      </c>
      <c r="I834" s="19"/>
      <c r="J834" s="19" t="str">
        <f t="array" ref="J834">IF($I834="","",IFERROR(INDEX(Legend!$C$41:$C$45,MATCH($I834,Legend!$B$41:$B$45,0)),""))</f>
        <v/>
      </c>
      <c r="K834" s="19"/>
    </row>
    <row r="835" ht="15.75" customHeight="1">
      <c r="A835" s="18">
        <v>831.0</v>
      </c>
      <c r="B835" s="19" t="s">
        <v>958</v>
      </c>
      <c r="C835" s="19" t="s">
        <v>2309</v>
      </c>
      <c r="D835" s="19" t="s">
        <v>2329</v>
      </c>
      <c r="E835" s="53" t="s">
        <v>42</v>
      </c>
      <c r="F835" s="31" t="s">
        <v>34</v>
      </c>
      <c r="G835" s="46" t="s">
        <v>50</v>
      </c>
      <c r="H835" s="39" t="s">
        <v>2330</v>
      </c>
      <c r="I835" s="19"/>
      <c r="J835" s="19" t="str">
        <f t="array" ref="J835">IF($I835="","",IFERROR(INDEX(Legend!$C$41:$C$45,MATCH($I835,Legend!$B$41:$B$45,0)),""))</f>
        <v/>
      </c>
      <c r="K835" s="19"/>
    </row>
    <row r="836" ht="15.75" customHeight="1">
      <c r="A836" s="18">
        <v>832.0</v>
      </c>
      <c r="B836" s="19" t="s">
        <v>958</v>
      </c>
      <c r="C836" s="19" t="s">
        <v>2309</v>
      </c>
      <c r="D836" s="19" t="s">
        <v>2331</v>
      </c>
      <c r="E836" s="48" t="s">
        <v>43</v>
      </c>
      <c r="F836" s="54" t="s">
        <v>46</v>
      </c>
      <c r="G836" s="61" t="s">
        <v>47</v>
      </c>
      <c r="H836" s="39" t="s">
        <v>488</v>
      </c>
      <c r="I836" s="19"/>
      <c r="J836" s="19" t="str">
        <f t="array" ref="J836">IF($I836="","",IFERROR(INDEX(Legend!$C$41:$C$45,MATCH($I836,Legend!$B$41:$B$45,0)),""))</f>
        <v/>
      </c>
      <c r="K836" s="19"/>
    </row>
    <row r="837" ht="15.75" customHeight="1">
      <c r="A837" s="18">
        <v>833.0</v>
      </c>
      <c r="B837" s="19" t="s">
        <v>958</v>
      </c>
      <c r="C837" s="19" t="s">
        <v>2309</v>
      </c>
      <c r="D837" s="19" t="s">
        <v>288</v>
      </c>
      <c r="E837" s="48" t="s">
        <v>43</v>
      </c>
      <c r="F837" s="54" t="s">
        <v>46</v>
      </c>
      <c r="G837" s="61" t="s">
        <v>47</v>
      </c>
      <c r="H837" s="39" t="s">
        <v>488</v>
      </c>
      <c r="I837" s="19"/>
      <c r="J837" s="19" t="str">
        <f t="array" ref="J837">IF($I837="","",IFERROR(INDEX(Legend!$C$41:$C$45,MATCH($I837,Legend!$B$41:$B$45,0)),""))</f>
        <v/>
      </c>
      <c r="K837" s="19"/>
    </row>
    <row r="838" ht="15.75" customHeight="1">
      <c r="A838" s="18">
        <v>834.0</v>
      </c>
      <c r="B838" s="19" t="s">
        <v>958</v>
      </c>
      <c r="C838" s="19" t="s">
        <v>2309</v>
      </c>
      <c r="D838" s="19" t="s">
        <v>294</v>
      </c>
      <c r="E838" s="48" t="s">
        <v>43</v>
      </c>
      <c r="F838" s="54" t="s">
        <v>46</v>
      </c>
      <c r="G838" s="61" t="s">
        <v>47</v>
      </c>
      <c r="H838" s="39" t="s">
        <v>488</v>
      </c>
      <c r="I838" s="19"/>
      <c r="J838" s="19" t="str">
        <f t="array" ref="J838">IF($I838="","",IFERROR(INDEX(Legend!$C$41:$C$45,MATCH($I838,Legend!$B$41:$B$45,0)),""))</f>
        <v/>
      </c>
      <c r="K838" s="19"/>
    </row>
    <row r="839" ht="15.75" customHeight="1">
      <c r="A839" s="18">
        <v>835.0</v>
      </c>
      <c r="B839" s="19" t="s">
        <v>958</v>
      </c>
      <c r="C839" s="19" t="s">
        <v>2332</v>
      </c>
      <c r="D839" s="19" t="s">
        <v>2333</v>
      </c>
      <c r="E839" s="53" t="s">
        <v>42</v>
      </c>
      <c r="F839" s="31" t="s">
        <v>34</v>
      </c>
      <c r="G839" s="37" t="s">
        <v>49</v>
      </c>
      <c r="H839" s="39" t="s">
        <v>2334</v>
      </c>
      <c r="I839" s="19"/>
      <c r="J839" s="19" t="str">
        <f t="array" ref="J839">IF($I839="","",IFERROR(INDEX(Legend!$C$41:$C$45,MATCH($I839,Legend!$B$41:$B$45,0)),""))</f>
        <v/>
      </c>
      <c r="K839" s="19"/>
    </row>
    <row r="840" ht="15.75" customHeight="1">
      <c r="A840" s="18">
        <v>836.0</v>
      </c>
      <c r="B840" s="19" t="s">
        <v>958</v>
      </c>
      <c r="C840" s="19" t="s">
        <v>2332</v>
      </c>
      <c r="D840" s="19" t="s">
        <v>2335</v>
      </c>
      <c r="E840" s="53" t="s">
        <v>42</v>
      </c>
      <c r="F840" s="31" t="s">
        <v>34</v>
      </c>
      <c r="G840" s="37" t="s">
        <v>49</v>
      </c>
      <c r="H840" s="39"/>
      <c r="I840" s="19"/>
      <c r="J840" s="19" t="str">
        <f t="array" ref="J840">IF($I840="","",IFERROR(INDEX(Legend!$C$41:$C$45,MATCH($I840,Legend!$B$41:$B$45,0)),""))</f>
        <v/>
      </c>
      <c r="K840" s="19"/>
    </row>
    <row r="841" ht="15.75" customHeight="1">
      <c r="A841" s="18">
        <v>837.0</v>
      </c>
      <c r="B841" s="19" t="s">
        <v>958</v>
      </c>
      <c r="C841" s="19" t="s">
        <v>2332</v>
      </c>
      <c r="D841" s="19" t="s">
        <v>2336</v>
      </c>
      <c r="E841" s="53" t="s">
        <v>42</v>
      </c>
      <c r="F841" s="31" t="s">
        <v>34</v>
      </c>
      <c r="G841" s="37" t="s">
        <v>49</v>
      </c>
      <c r="H841" s="39" t="s">
        <v>2337</v>
      </c>
      <c r="I841" s="19"/>
      <c r="J841" s="19" t="str">
        <f t="array" ref="J841">IF($I841="","",IFERROR(INDEX(Legend!$C$41:$C$45,MATCH($I841,Legend!$B$41:$B$45,0)),""))</f>
        <v/>
      </c>
      <c r="K841" s="19"/>
    </row>
    <row r="842" ht="15.75" customHeight="1">
      <c r="A842" s="18">
        <v>838.0</v>
      </c>
      <c r="B842" s="19" t="s">
        <v>958</v>
      </c>
      <c r="C842" s="19" t="s">
        <v>2332</v>
      </c>
      <c r="D842" s="19" t="s">
        <v>2338</v>
      </c>
      <c r="E842" s="53" t="s">
        <v>42</v>
      </c>
      <c r="F842" s="48" t="s">
        <v>77</v>
      </c>
      <c r="G842" s="46" t="s">
        <v>50</v>
      </c>
      <c r="H842" s="39"/>
      <c r="I842" s="19"/>
      <c r="J842" s="19" t="str">
        <f t="array" ref="J842">IF($I842="","",IFERROR(INDEX(Legend!$C$41:$C$45,MATCH($I842,Legend!$B$41:$B$45,0)),""))</f>
        <v/>
      </c>
      <c r="K842" s="19"/>
    </row>
    <row r="843" ht="15.75" customHeight="1">
      <c r="A843" s="18">
        <v>839.0</v>
      </c>
      <c r="B843" s="19" t="s">
        <v>958</v>
      </c>
      <c r="C843" s="19" t="s">
        <v>2332</v>
      </c>
      <c r="D843" s="19" t="s">
        <v>2339</v>
      </c>
      <c r="E843" s="53" t="s">
        <v>42</v>
      </c>
      <c r="F843" s="31" t="s">
        <v>34</v>
      </c>
      <c r="G843" s="37" t="s">
        <v>49</v>
      </c>
      <c r="H843" s="39" t="s">
        <v>2340</v>
      </c>
      <c r="I843" s="19"/>
      <c r="J843" s="19" t="str">
        <f t="array" ref="J843">IF($I843="","",IFERROR(INDEX(Legend!$C$41:$C$45,MATCH($I843,Legend!$B$41:$B$45,0)),""))</f>
        <v/>
      </c>
      <c r="K843" s="19"/>
    </row>
    <row r="844" ht="15.75" customHeight="1">
      <c r="A844" s="18">
        <v>840.0</v>
      </c>
      <c r="B844" s="19" t="s">
        <v>958</v>
      </c>
      <c r="C844" s="19" t="s">
        <v>2332</v>
      </c>
      <c r="D844" s="19" t="s">
        <v>2341</v>
      </c>
      <c r="E844" s="53" t="s">
        <v>42</v>
      </c>
      <c r="F844" s="31" t="s">
        <v>34</v>
      </c>
      <c r="G844" s="46" t="s">
        <v>50</v>
      </c>
      <c r="H844" s="39"/>
      <c r="I844" s="19"/>
      <c r="J844" s="19" t="str">
        <f t="array" ref="J844">IF($I844="","",IFERROR(INDEX(Legend!$C$41:$C$45,MATCH($I844,Legend!$B$41:$B$45,0)),""))</f>
        <v/>
      </c>
      <c r="K844" s="19"/>
    </row>
    <row r="845" ht="15.75" customHeight="1">
      <c r="A845" s="18">
        <v>841.0</v>
      </c>
      <c r="B845" s="19" t="s">
        <v>958</v>
      </c>
      <c r="C845" s="19" t="s">
        <v>2332</v>
      </c>
      <c r="D845" s="19" t="s">
        <v>2342</v>
      </c>
      <c r="E845" s="53" t="s">
        <v>42</v>
      </c>
      <c r="F845" s="31" t="s">
        <v>34</v>
      </c>
      <c r="G845" s="46" t="s">
        <v>50</v>
      </c>
      <c r="H845" s="39"/>
      <c r="I845" s="19"/>
      <c r="J845" s="19" t="str">
        <f t="array" ref="J845">IF($I845="","",IFERROR(INDEX(Legend!$C$41:$C$45,MATCH($I845,Legend!$B$41:$B$45,0)),""))</f>
        <v/>
      </c>
      <c r="K845" s="19"/>
    </row>
    <row r="846" ht="15.75" customHeight="1">
      <c r="A846" s="18">
        <v>842.0</v>
      </c>
      <c r="B846" s="19" t="s">
        <v>958</v>
      </c>
      <c r="C846" s="19" t="s">
        <v>2343</v>
      </c>
      <c r="D846" s="19" t="s">
        <v>2344</v>
      </c>
      <c r="E846" s="53" t="s">
        <v>42</v>
      </c>
      <c r="F846" s="48" t="s">
        <v>77</v>
      </c>
      <c r="G846" s="37" t="s">
        <v>49</v>
      </c>
      <c r="H846" s="39" t="s">
        <v>1906</v>
      </c>
      <c r="I846" s="19"/>
      <c r="J846" s="19" t="str">
        <f t="array" ref="J846">IF($I846="","",IFERROR(INDEX(Legend!$C$41:$C$45,MATCH($I846,Legend!$B$41:$B$45,0)),""))</f>
        <v/>
      </c>
      <c r="K846" s="19"/>
    </row>
    <row r="847" ht="15.75" customHeight="1">
      <c r="A847" s="18">
        <v>843.0</v>
      </c>
      <c r="B847" s="19" t="s">
        <v>958</v>
      </c>
      <c r="C847" s="19" t="s">
        <v>2343</v>
      </c>
      <c r="D847" s="19" t="s">
        <v>2345</v>
      </c>
      <c r="E847" s="53" t="s">
        <v>42</v>
      </c>
      <c r="F847" s="31" t="s">
        <v>34</v>
      </c>
      <c r="G847" s="46" t="s">
        <v>50</v>
      </c>
      <c r="H847" s="39"/>
      <c r="I847" s="19"/>
      <c r="J847" s="19" t="str">
        <f t="array" ref="J847">IF($I847="","",IFERROR(INDEX(Legend!$C$41:$C$45,MATCH($I847,Legend!$B$41:$B$45,0)),""))</f>
        <v/>
      </c>
      <c r="K847" s="19"/>
    </row>
    <row r="848" ht="15.75" customHeight="1">
      <c r="A848" s="18">
        <v>844.0</v>
      </c>
      <c r="B848" s="19" t="s">
        <v>958</v>
      </c>
      <c r="C848" s="19" t="s">
        <v>2343</v>
      </c>
      <c r="D848" s="19" t="s">
        <v>2346</v>
      </c>
      <c r="E848" s="53" t="s">
        <v>42</v>
      </c>
      <c r="F848" s="31" t="s">
        <v>34</v>
      </c>
      <c r="G848" s="37" t="s">
        <v>49</v>
      </c>
      <c r="H848" s="39" t="s">
        <v>2347</v>
      </c>
      <c r="I848" s="19"/>
      <c r="J848" s="19" t="str">
        <f t="array" ref="J848">IF($I848="","",IFERROR(INDEX(Legend!$C$41:$C$45,MATCH($I848,Legend!$B$41:$B$45,0)),""))</f>
        <v/>
      </c>
      <c r="K848" s="19"/>
    </row>
    <row r="849" ht="15.75" customHeight="1">
      <c r="A849" s="18">
        <v>845.0</v>
      </c>
      <c r="B849" s="19" t="s">
        <v>958</v>
      </c>
      <c r="C849" s="19" t="s">
        <v>2343</v>
      </c>
      <c r="D849" s="19" t="s">
        <v>2348</v>
      </c>
      <c r="E849" s="53" t="s">
        <v>42</v>
      </c>
      <c r="F849" s="31" t="s">
        <v>34</v>
      </c>
      <c r="G849" s="37" t="s">
        <v>49</v>
      </c>
      <c r="H849" s="39" t="s">
        <v>2349</v>
      </c>
      <c r="I849" s="19"/>
      <c r="J849" s="19" t="str">
        <f t="array" ref="J849">IF($I849="","",IFERROR(INDEX(Legend!$C$41:$C$45,MATCH($I849,Legend!$B$41:$B$45,0)),""))</f>
        <v/>
      </c>
      <c r="K849" s="19"/>
    </row>
    <row r="850" ht="15.75" customHeight="1">
      <c r="A850" s="18">
        <v>846.0</v>
      </c>
      <c r="B850" s="19" t="s">
        <v>958</v>
      </c>
      <c r="C850" s="19" t="s">
        <v>2343</v>
      </c>
      <c r="D850" s="19" t="s">
        <v>2350</v>
      </c>
      <c r="E850" s="53" t="s">
        <v>42</v>
      </c>
      <c r="F850" s="31" t="s">
        <v>34</v>
      </c>
      <c r="G850" s="37" t="s">
        <v>49</v>
      </c>
      <c r="H850" s="39" t="s">
        <v>2351</v>
      </c>
      <c r="I850" s="19"/>
      <c r="J850" s="19" t="str">
        <f t="array" ref="J850">IF($I850="","",IFERROR(INDEX(Legend!$C$41:$C$45,MATCH($I850,Legend!$B$41:$B$45,0)),""))</f>
        <v/>
      </c>
      <c r="K850" s="19"/>
    </row>
    <row r="851" ht="15.75" customHeight="1">
      <c r="A851" s="18">
        <v>847.0</v>
      </c>
      <c r="B851" s="19" t="s">
        <v>958</v>
      </c>
      <c r="C851" s="19" t="s">
        <v>2343</v>
      </c>
      <c r="D851" s="19" t="s">
        <v>2352</v>
      </c>
      <c r="E851" s="53" t="s">
        <v>42</v>
      </c>
      <c r="F851" s="31" t="s">
        <v>34</v>
      </c>
      <c r="G851" s="46" t="s">
        <v>50</v>
      </c>
      <c r="H851" s="39"/>
      <c r="I851" s="19"/>
      <c r="J851" s="19" t="str">
        <f t="array" ref="J851">IF($I851="","",IFERROR(INDEX(Legend!$C$41:$C$45,MATCH($I851,Legend!$B$41:$B$45,0)),""))</f>
        <v/>
      </c>
      <c r="K851" s="19"/>
    </row>
    <row r="852" ht="15.75" customHeight="1">
      <c r="A852" s="18">
        <v>848.0</v>
      </c>
      <c r="B852" s="19" t="s">
        <v>958</v>
      </c>
      <c r="C852" s="19" t="s">
        <v>2343</v>
      </c>
      <c r="D852" s="19" t="s">
        <v>2353</v>
      </c>
      <c r="E852" s="53" t="s">
        <v>42</v>
      </c>
      <c r="F852" s="31" t="s">
        <v>34</v>
      </c>
      <c r="G852" s="46" t="s">
        <v>50</v>
      </c>
      <c r="H852" s="39"/>
      <c r="I852" s="19"/>
      <c r="J852" s="19" t="str">
        <f t="array" ref="J852">IF($I852="","",IFERROR(INDEX(Legend!$C$41:$C$45,MATCH($I852,Legend!$B$41:$B$45,0)),""))</f>
        <v/>
      </c>
      <c r="K852" s="19"/>
    </row>
    <row r="853" ht="15.75" customHeight="1">
      <c r="A853" s="18">
        <v>849.0</v>
      </c>
      <c r="B853" s="19" t="s">
        <v>958</v>
      </c>
      <c r="C853" s="19" t="s">
        <v>2343</v>
      </c>
      <c r="D853" s="19" t="s">
        <v>2354</v>
      </c>
      <c r="E853" s="53" t="s">
        <v>42</v>
      </c>
      <c r="F853" s="48" t="s">
        <v>77</v>
      </c>
      <c r="G853" s="37" t="s">
        <v>49</v>
      </c>
      <c r="H853" s="39" t="s">
        <v>2355</v>
      </c>
      <c r="I853" s="19"/>
      <c r="J853" s="19" t="str">
        <f t="array" ref="J853">IF($I853="","",IFERROR(INDEX(Legend!$C$41:$C$45,MATCH($I853,Legend!$B$41:$B$45,0)),""))</f>
        <v/>
      </c>
      <c r="K853" s="19"/>
    </row>
    <row r="854" ht="15.75" customHeight="1">
      <c r="A854" s="18">
        <v>850.0</v>
      </c>
      <c r="B854" s="19" t="s">
        <v>958</v>
      </c>
      <c r="C854" s="19" t="s">
        <v>2356</v>
      </c>
      <c r="D854" s="19" t="s">
        <v>2357</v>
      </c>
      <c r="E854" s="53" t="s">
        <v>42</v>
      </c>
      <c r="F854" s="31" t="s">
        <v>34</v>
      </c>
      <c r="G854" s="37" t="s">
        <v>49</v>
      </c>
      <c r="H854" s="39"/>
      <c r="I854" s="19"/>
      <c r="J854" s="19" t="str">
        <f t="array" ref="J854">IF($I854="","",IFERROR(INDEX(Legend!$C$41:$C$45,MATCH($I854,Legend!$B$41:$B$45,0)),""))</f>
        <v/>
      </c>
      <c r="K854" s="19"/>
    </row>
    <row r="855" ht="15.75" customHeight="1">
      <c r="A855" s="18">
        <v>851.0</v>
      </c>
      <c r="B855" s="19" t="s">
        <v>958</v>
      </c>
      <c r="C855" s="19" t="s">
        <v>2356</v>
      </c>
      <c r="D855" s="19" t="s">
        <v>2358</v>
      </c>
      <c r="E855" s="53" t="s">
        <v>42</v>
      </c>
      <c r="F855" s="48" t="s">
        <v>77</v>
      </c>
      <c r="G855" s="37" t="s">
        <v>49</v>
      </c>
      <c r="H855" s="39" t="s">
        <v>2359</v>
      </c>
      <c r="I855" s="19"/>
      <c r="J855" s="19" t="str">
        <f t="array" ref="J855">IF($I855="","",IFERROR(INDEX(Legend!$C$41:$C$45,MATCH($I855,Legend!$B$41:$B$45,0)),""))</f>
        <v/>
      </c>
      <c r="K855" s="19"/>
    </row>
    <row r="856" ht="15.75" customHeight="1">
      <c r="A856" s="18">
        <v>852.0</v>
      </c>
      <c r="B856" s="19" t="s">
        <v>958</v>
      </c>
      <c r="C856" s="19" t="s">
        <v>2356</v>
      </c>
      <c r="D856" s="19" t="s">
        <v>2360</v>
      </c>
      <c r="E856" s="53" t="s">
        <v>42</v>
      </c>
      <c r="F856" s="31" t="s">
        <v>34</v>
      </c>
      <c r="G856" s="46" t="s">
        <v>50</v>
      </c>
      <c r="H856" s="39"/>
      <c r="I856" s="19"/>
      <c r="J856" s="19" t="str">
        <f t="array" ref="J856">IF($I856="","",IFERROR(INDEX(Legend!$C$41:$C$45,MATCH($I856,Legend!$B$41:$B$45,0)),""))</f>
        <v/>
      </c>
      <c r="K856" s="19"/>
    </row>
    <row r="857" ht="15.75" customHeight="1">
      <c r="A857" s="18">
        <v>853.0</v>
      </c>
      <c r="B857" s="19" t="s">
        <v>958</v>
      </c>
      <c r="C857" s="19" t="s">
        <v>2356</v>
      </c>
      <c r="D857" s="19" t="s">
        <v>2361</v>
      </c>
      <c r="E857" s="53" t="s">
        <v>42</v>
      </c>
      <c r="F857" s="48" t="s">
        <v>77</v>
      </c>
      <c r="G857" s="37" t="s">
        <v>49</v>
      </c>
      <c r="H857" s="39" t="s">
        <v>2362</v>
      </c>
      <c r="I857" s="19"/>
      <c r="J857" s="19" t="str">
        <f t="array" ref="J857">IF($I857="","",IFERROR(INDEX(Legend!$C$41:$C$45,MATCH($I857,Legend!$B$41:$B$45,0)),""))</f>
        <v/>
      </c>
      <c r="K857" s="19"/>
    </row>
    <row r="858" ht="15.75" customHeight="1">
      <c r="A858" s="18">
        <v>854.0</v>
      </c>
      <c r="B858" s="19" t="s">
        <v>958</v>
      </c>
      <c r="C858" s="19" t="s">
        <v>2356</v>
      </c>
      <c r="D858" s="19" t="s">
        <v>2363</v>
      </c>
      <c r="E858" s="53" t="s">
        <v>42</v>
      </c>
      <c r="F858" s="31" t="s">
        <v>34</v>
      </c>
      <c r="G858" s="37" t="s">
        <v>49</v>
      </c>
      <c r="H858" s="39"/>
      <c r="I858" s="19"/>
      <c r="J858" s="19" t="str">
        <f t="array" ref="J858">IF($I858="","",IFERROR(INDEX(Legend!$C$41:$C$45,MATCH($I858,Legend!$B$41:$B$45,0)),""))</f>
        <v/>
      </c>
      <c r="K858" s="19"/>
    </row>
    <row r="859" ht="15.75" customHeight="1">
      <c r="A859" s="18">
        <v>855.0</v>
      </c>
      <c r="B859" s="19" t="s">
        <v>958</v>
      </c>
      <c r="C859" s="19" t="s">
        <v>2356</v>
      </c>
      <c r="D859" s="19" t="s">
        <v>2364</v>
      </c>
      <c r="E859" s="53" t="s">
        <v>42</v>
      </c>
      <c r="F859" s="31" t="s">
        <v>34</v>
      </c>
      <c r="G859" s="37" t="s">
        <v>49</v>
      </c>
      <c r="H859" s="39"/>
      <c r="I859" s="19"/>
      <c r="J859" s="19" t="str">
        <f t="array" ref="J859">IF($I859="","",IFERROR(INDEX(Legend!$C$41:$C$45,MATCH($I859,Legend!$B$41:$B$45,0)),""))</f>
        <v/>
      </c>
      <c r="K859" s="19"/>
    </row>
    <row r="860" ht="15.75" customHeight="1">
      <c r="A860" s="18">
        <v>856.0</v>
      </c>
      <c r="B860" s="19" t="s">
        <v>958</v>
      </c>
      <c r="C860" s="19" t="s">
        <v>2356</v>
      </c>
      <c r="D860" s="19" t="s">
        <v>2365</v>
      </c>
      <c r="E860" s="53" t="s">
        <v>42</v>
      </c>
      <c r="F860" s="48" t="s">
        <v>77</v>
      </c>
      <c r="G860" s="37" t="s">
        <v>49</v>
      </c>
      <c r="H860" s="39" t="s">
        <v>2366</v>
      </c>
      <c r="I860" s="19"/>
      <c r="J860" s="19" t="str">
        <f t="array" ref="J860">IF($I860="","",IFERROR(INDEX(Legend!$C$41:$C$45,MATCH($I860,Legend!$B$41:$B$45,0)),""))</f>
        <v/>
      </c>
      <c r="K860" s="19"/>
    </row>
    <row r="861" ht="15.75" customHeight="1">
      <c r="A861" s="18">
        <v>857.0</v>
      </c>
      <c r="B861" s="19" t="s">
        <v>958</v>
      </c>
      <c r="C861" s="19" t="s">
        <v>2367</v>
      </c>
      <c r="D861" s="19" t="s">
        <v>2368</v>
      </c>
      <c r="E861" s="53" t="s">
        <v>42</v>
      </c>
      <c r="F861" s="48" t="s">
        <v>77</v>
      </c>
      <c r="G861" s="37" t="s">
        <v>49</v>
      </c>
      <c r="H861" s="39" t="s">
        <v>2369</v>
      </c>
      <c r="I861" s="19"/>
      <c r="J861" s="19" t="str">
        <f t="array" ref="J861">IF($I861="","",IFERROR(INDEX(Legend!$C$41:$C$45,MATCH($I861,Legend!$B$41:$B$45,0)),""))</f>
        <v/>
      </c>
      <c r="K861" s="19"/>
    </row>
    <row r="862" ht="15.75" customHeight="1">
      <c r="A862" s="18">
        <v>858.0</v>
      </c>
      <c r="B862" s="19" t="s">
        <v>958</v>
      </c>
      <c r="C862" s="19" t="s">
        <v>2367</v>
      </c>
      <c r="D862" s="19" t="s">
        <v>2370</v>
      </c>
      <c r="E862" s="53" t="s">
        <v>42</v>
      </c>
      <c r="F862" s="48" t="s">
        <v>77</v>
      </c>
      <c r="G862" s="37" t="s">
        <v>49</v>
      </c>
      <c r="H862" s="39"/>
      <c r="I862" s="19"/>
      <c r="J862" s="19" t="str">
        <f t="array" ref="J862">IF($I862="","",IFERROR(INDEX(Legend!$C$41:$C$45,MATCH($I862,Legend!$B$41:$B$45,0)),""))</f>
        <v/>
      </c>
      <c r="K862" s="19"/>
    </row>
    <row r="863" ht="15.75" customHeight="1">
      <c r="A863" s="18">
        <v>859.0</v>
      </c>
      <c r="B863" s="19" t="s">
        <v>958</v>
      </c>
      <c r="C863" s="19" t="s">
        <v>2367</v>
      </c>
      <c r="D863" s="19" t="s">
        <v>2371</v>
      </c>
      <c r="E863" s="53" t="s">
        <v>42</v>
      </c>
      <c r="F863" s="54" t="s">
        <v>46</v>
      </c>
      <c r="G863" s="46" t="s">
        <v>50</v>
      </c>
      <c r="H863" s="39" t="s">
        <v>2372</v>
      </c>
      <c r="I863" s="19"/>
      <c r="J863" s="19" t="str">
        <f t="array" ref="J863">IF($I863="","",IFERROR(INDEX(Legend!$C$41:$C$45,MATCH($I863,Legend!$B$41:$B$45,0)),""))</f>
        <v/>
      </c>
      <c r="K863" s="19"/>
    </row>
    <row r="864" ht="15.75" customHeight="1">
      <c r="A864" s="18">
        <v>860.0</v>
      </c>
      <c r="B864" s="19" t="s">
        <v>958</v>
      </c>
      <c r="C864" s="19" t="s">
        <v>2367</v>
      </c>
      <c r="D864" s="19" t="s">
        <v>2373</v>
      </c>
      <c r="E864" s="53" t="s">
        <v>42</v>
      </c>
      <c r="F864" s="31" t="s">
        <v>34</v>
      </c>
      <c r="G864" s="37" t="s">
        <v>49</v>
      </c>
      <c r="H864" s="39" t="s">
        <v>2374</v>
      </c>
      <c r="I864" s="19"/>
      <c r="J864" s="19" t="str">
        <f t="array" ref="J864">IF($I864="","",IFERROR(INDEX(Legend!$C$41:$C$45,MATCH($I864,Legend!$B$41:$B$45,0)),""))</f>
        <v/>
      </c>
      <c r="K864" s="19"/>
    </row>
    <row r="865" ht="15.75" customHeight="1">
      <c r="A865" s="18">
        <v>861.0</v>
      </c>
      <c r="B865" s="19" t="s">
        <v>958</v>
      </c>
      <c r="C865" s="19" t="s">
        <v>2367</v>
      </c>
      <c r="D865" s="19" t="s">
        <v>2375</v>
      </c>
      <c r="E865" s="53" t="s">
        <v>42</v>
      </c>
      <c r="F865" s="48" t="s">
        <v>77</v>
      </c>
      <c r="G865" s="37" t="s">
        <v>49</v>
      </c>
      <c r="H865" s="39" t="s">
        <v>2376</v>
      </c>
      <c r="I865" s="19"/>
      <c r="J865" s="19" t="str">
        <f t="array" ref="J865">IF($I865="","",IFERROR(INDEX(Legend!$C$41:$C$45,MATCH($I865,Legend!$B$41:$B$45,0)),""))</f>
        <v/>
      </c>
      <c r="K865" s="19"/>
    </row>
    <row r="866" ht="15.75" customHeight="1">
      <c r="A866" s="18">
        <v>862.0</v>
      </c>
      <c r="B866" s="19" t="s">
        <v>958</v>
      </c>
      <c r="C866" s="19" t="s">
        <v>2367</v>
      </c>
      <c r="D866" s="19" t="s">
        <v>2317</v>
      </c>
      <c r="E866" s="53" t="s">
        <v>42</v>
      </c>
      <c r="F866" s="48" t="s">
        <v>77</v>
      </c>
      <c r="G866" s="37" t="s">
        <v>49</v>
      </c>
      <c r="H866" s="39" t="s">
        <v>2377</v>
      </c>
      <c r="I866" s="19"/>
      <c r="J866" s="19" t="str">
        <f t="array" ref="J866">IF($I866="","",IFERROR(INDEX(Legend!$C$41:$C$45,MATCH($I866,Legend!$B$41:$B$45,0)),""))</f>
        <v/>
      </c>
      <c r="K866" s="19"/>
    </row>
    <row r="867" ht="15.75" customHeight="1">
      <c r="A867" s="18">
        <v>863.0</v>
      </c>
      <c r="B867" s="19" t="s">
        <v>958</v>
      </c>
      <c r="C867" s="19" t="s">
        <v>2367</v>
      </c>
      <c r="D867" s="19" t="s">
        <v>2318</v>
      </c>
      <c r="E867" s="53" t="s">
        <v>42</v>
      </c>
      <c r="F867" s="31" t="s">
        <v>34</v>
      </c>
      <c r="G867" s="37" t="s">
        <v>49</v>
      </c>
      <c r="H867" s="39"/>
      <c r="I867" s="19"/>
      <c r="J867" s="19" t="str">
        <f t="array" ref="J867">IF($I867="","",IFERROR(INDEX(Legend!$C$41:$C$45,MATCH($I867,Legend!$B$41:$B$45,0)),""))</f>
        <v/>
      </c>
      <c r="K867" s="19"/>
    </row>
    <row r="868" ht="15.75" customHeight="1">
      <c r="A868" s="18">
        <v>864.0</v>
      </c>
      <c r="B868" s="19" t="s">
        <v>958</v>
      </c>
      <c r="C868" s="19" t="s">
        <v>2367</v>
      </c>
      <c r="D868" s="19" t="s">
        <v>2378</v>
      </c>
      <c r="E868" s="53" t="s">
        <v>42</v>
      </c>
      <c r="F868" s="31" t="s">
        <v>34</v>
      </c>
      <c r="G868" s="37" t="s">
        <v>49</v>
      </c>
      <c r="H868" s="39" t="s">
        <v>2379</v>
      </c>
      <c r="I868" s="19"/>
      <c r="J868" s="19" t="str">
        <f t="array" ref="J868">IF($I868="","",IFERROR(INDEX(Legend!$C$41:$C$45,MATCH($I868,Legend!$B$41:$B$45,0)),""))</f>
        <v/>
      </c>
      <c r="K868" s="19"/>
    </row>
    <row r="869" ht="15.75" customHeight="1">
      <c r="A869" s="18">
        <v>865.0</v>
      </c>
      <c r="B869" s="19" t="s">
        <v>958</v>
      </c>
      <c r="C869" s="19" t="s">
        <v>2367</v>
      </c>
      <c r="D869" s="19" t="s">
        <v>2380</v>
      </c>
      <c r="E869" s="53" t="s">
        <v>42</v>
      </c>
      <c r="F869" s="31" t="s">
        <v>34</v>
      </c>
      <c r="G869" s="37" t="s">
        <v>49</v>
      </c>
      <c r="H869" s="39" t="s">
        <v>2381</v>
      </c>
      <c r="I869" s="19"/>
      <c r="J869" s="19" t="str">
        <f t="array" ref="J869">IF($I869="","",IFERROR(INDEX(Legend!$C$41:$C$45,MATCH($I869,Legend!$B$41:$B$45,0)),""))</f>
        <v/>
      </c>
      <c r="K869" s="19"/>
    </row>
    <row r="870" ht="15.75" customHeight="1">
      <c r="A870" s="18">
        <v>866.0</v>
      </c>
      <c r="B870" s="19" t="s">
        <v>958</v>
      </c>
      <c r="C870" s="19" t="s">
        <v>2367</v>
      </c>
      <c r="D870" s="19" t="s">
        <v>2382</v>
      </c>
      <c r="E870" s="53" t="s">
        <v>42</v>
      </c>
      <c r="F870" s="31" t="s">
        <v>34</v>
      </c>
      <c r="G870" s="46" t="s">
        <v>50</v>
      </c>
      <c r="H870" s="39" t="s">
        <v>2383</v>
      </c>
      <c r="I870" s="19"/>
      <c r="J870" s="19" t="str">
        <f t="array" ref="J870">IF($I870="","",IFERROR(INDEX(Legend!$C$41:$C$45,MATCH($I870,Legend!$B$41:$B$45,0)),""))</f>
        <v/>
      </c>
      <c r="K870" s="19"/>
    </row>
    <row r="871" ht="15.75" customHeight="1">
      <c r="A871" s="18">
        <v>867.0</v>
      </c>
      <c r="B871" s="19" t="s">
        <v>958</v>
      </c>
      <c r="C871" s="19" t="s">
        <v>2367</v>
      </c>
      <c r="D871" s="19" t="s">
        <v>2384</v>
      </c>
      <c r="E871" s="53" t="s">
        <v>42</v>
      </c>
      <c r="F871" s="31" t="s">
        <v>34</v>
      </c>
      <c r="G871" s="37" t="s">
        <v>49</v>
      </c>
      <c r="H871" s="39" t="s">
        <v>2385</v>
      </c>
      <c r="I871" s="19"/>
      <c r="J871" s="19" t="str">
        <f t="array" ref="J871">IF($I871="","",IFERROR(INDEX(Legend!$C$41:$C$45,MATCH($I871,Legend!$B$41:$B$45,0)),""))</f>
        <v/>
      </c>
      <c r="K871" s="19"/>
    </row>
    <row r="872" ht="15.75" customHeight="1">
      <c r="A872" s="18">
        <v>868.0</v>
      </c>
      <c r="B872" s="19" t="s">
        <v>958</v>
      </c>
      <c r="C872" s="19" t="s">
        <v>2367</v>
      </c>
      <c r="D872" s="19" t="s">
        <v>2386</v>
      </c>
      <c r="E872" s="53" t="s">
        <v>42</v>
      </c>
      <c r="F872" s="48" t="s">
        <v>77</v>
      </c>
      <c r="G872" s="37" t="s">
        <v>49</v>
      </c>
      <c r="H872" s="39"/>
      <c r="I872" s="19"/>
      <c r="J872" s="19" t="str">
        <f t="array" ref="J872">IF($I872="","",IFERROR(INDEX(Legend!$C$41:$C$45,MATCH($I872,Legend!$B$41:$B$45,0)),""))</f>
        <v/>
      </c>
      <c r="K872" s="19"/>
    </row>
    <row r="873" ht="15.75" customHeight="1">
      <c r="A873" s="18">
        <v>869.0</v>
      </c>
      <c r="B873" s="19" t="s">
        <v>958</v>
      </c>
      <c r="C873" s="19" t="s">
        <v>2367</v>
      </c>
      <c r="D873" s="19" t="s">
        <v>2387</v>
      </c>
      <c r="E873" s="53" t="s">
        <v>42</v>
      </c>
      <c r="F873" s="31" t="s">
        <v>34</v>
      </c>
      <c r="G873" s="37" t="s">
        <v>49</v>
      </c>
      <c r="H873" s="39" t="s">
        <v>2388</v>
      </c>
      <c r="I873" s="19"/>
      <c r="J873" s="19" t="str">
        <f t="array" ref="J873">IF($I873="","",IFERROR(INDEX(Legend!$C$41:$C$45,MATCH($I873,Legend!$B$41:$B$45,0)),""))</f>
        <v/>
      </c>
      <c r="K873" s="19"/>
    </row>
    <row r="874" ht="15.75" customHeight="1">
      <c r="A874" s="18">
        <v>870.0</v>
      </c>
      <c r="B874" s="19" t="s">
        <v>958</v>
      </c>
      <c r="C874" s="19" t="s">
        <v>2367</v>
      </c>
      <c r="D874" s="19" t="s">
        <v>2389</v>
      </c>
      <c r="E874" s="53" t="s">
        <v>42</v>
      </c>
      <c r="F874" s="48" t="s">
        <v>77</v>
      </c>
      <c r="G874" s="37" t="s">
        <v>49</v>
      </c>
      <c r="H874" s="39"/>
      <c r="I874" s="19"/>
      <c r="J874" s="19" t="str">
        <f t="array" ref="J874">IF($I874="","",IFERROR(INDEX(Legend!$C$41:$C$45,MATCH($I874,Legend!$B$41:$B$45,0)),""))</f>
        <v/>
      </c>
      <c r="K874" s="19"/>
    </row>
    <row r="875" ht="15.75" customHeight="1">
      <c r="A875" s="18">
        <v>871.0</v>
      </c>
      <c r="B875" s="19" t="s">
        <v>958</v>
      </c>
      <c r="C875" s="19" t="s">
        <v>2367</v>
      </c>
      <c r="D875" s="19" t="s">
        <v>2390</v>
      </c>
      <c r="E875" s="53" t="s">
        <v>42</v>
      </c>
      <c r="F875" s="31" t="s">
        <v>34</v>
      </c>
      <c r="G875" s="37" t="s">
        <v>49</v>
      </c>
      <c r="H875" s="39"/>
      <c r="I875" s="19"/>
      <c r="J875" s="19" t="str">
        <f t="array" ref="J875">IF($I875="","",IFERROR(INDEX(Legend!$C$41:$C$45,MATCH($I875,Legend!$B$41:$B$45,0)),""))</f>
        <v/>
      </c>
      <c r="K875" s="19"/>
    </row>
    <row r="876" ht="15.75" customHeight="1">
      <c r="A876" s="18">
        <v>872.0</v>
      </c>
      <c r="B876" s="19" t="s">
        <v>958</v>
      </c>
      <c r="C876" s="19" t="s">
        <v>2367</v>
      </c>
      <c r="D876" s="19" t="s">
        <v>2391</v>
      </c>
      <c r="E876" s="53" t="s">
        <v>42</v>
      </c>
      <c r="F876" s="31" t="s">
        <v>34</v>
      </c>
      <c r="G876" s="46" t="s">
        <v>50</v>
      </c>
      <c r="H876" s="39"/>
      <c r="I876" s="19"/>
      <c r="J876" s="19" t="str">
        <f t="array" ref="J876">IF($I876="","",IFERROR(INDEX(Legend!$C$41:$C$45,MATCH($I876,Legend!$B$41:$B$45,0)),""))</f>
        <v/>
      </c>
      <c r="K876" s="19"/>
    </row>
    <row r="877" ht="15.75" customHeight="1">
      <c r="A877" s="18">
        <v>873.0</v>
      </c>
      <c r="B877" s="19" t="s">
        <v>958</v>
      </c>
      <c r="C877" s="19" t="s">
        <v>2367</v>
      </c>
      <c r="D877" s="19" t="s">
        <v>2392</v>
      </c>
      <c r="E877" s="53" t="s">
        <v>42</v>
      </c>
      <c r="F877" s="31" t="s">
        <v>34</v>
      </c>
      <c r="G877" s="37" t="s">
        <v>49</v>
      </c>
      <c r="H877" s="39"/>
      <c r="I877" s="19"/>
      <c r="J877" s="19" t="str">
        <f t="array" ref="J877">IF($I877="","",IFERROR(INDEX(Legend!$C$41:$C$45,MATCH($I877,Legend!$B$41:$B$45,0)),""))</f>
        <v/>
      </c>
      <c r="K877" s="19"/>
    </row>
    <row r="878" ht="15.75" customHeight="1">
      <c r="A878" s="18">
        <v>874.0</v>
      </c>
      <c r="B878" s="19" t="s">
        <v>958</v>
      </c>
      <c r="C878" s="19" t="s">
        <v>2367</v>
      </c>
      <c r="D878" s="19" t="s">
        <v>2393</v>
      </c>
      <c r="E878" s="53" t="s">
        <v>42</v>
      </c>
      <c r="F878" s="31" t="s">
        <v>34</v>
      </c>
      <c r="G878" s="46" t="s">
        <v>50</v>
      </c>
      <c r="H878" s="39"/>
      <c r="I878" s="19"/>
      <c r="J878" s="19" t="str">
        <f t="array" ref="J878">IF($I878="","",IFERROR(INDEX(Legend!$C$41:$C$45,MATCH($I878,Legend!$B$41:$B$45,0)),""))</f>
        <v/>
      </c>
      <c r="K878" s="19"/>
    </row>
    <row r="879" ht="15.75" customHeight="1">
      <c r="A879" s="18">
        <v>875.0</v>
      </c>
      <c r="B879" s="19" t="s">
        <v>958</v>
      </c>
      <c r="C879" s="19" t="s">
        <v>2394</v>
      </c>
      <c r="D879" s="19" t="s">
        <v>2395</v>
      </c>
      <c r="E879" s="53" t="s">
        <v>42</v>
      </c>
      <c r="F879" s="31" t="s">
        <v>34</v>
      </c>
      <c r="G879" s="46" t="s">
        <v>50</v>
      </c>
      <c r="H879" s="39"/>
      <c r="I879" s="19"/>
      <c r="J879" s="19" t="str">
        <f t="array" ref="J879">IF($I879="","",IFERROR(INDEX(Legend!$C$41:$C$45,MATCH($I879,Legend!$B$41:$B$45,0)),""))</f>
        <v/>
      </c>
      <c r="K879" s="19"/>
    </row>
    <row r="880" ht="15.75" customHeight="1">
      <c r="A880" s="18">
        <v>876.0</v>
      </c>
      <c r="B880" s="19" t="s">
        <v>958</v>
      </c>
      <c r="C880" s="19" t="s">
        <v>2394</v>
      </c>
      <c r="D880" s="19" t="s">
        <v>2396</v>
      </c>
      <c r="E880" s="53" t="s">
        <v>42</v>
      </c>
      <c r="F880" s="31" t="s">
        <v>34</v>
      </c>
      <c r="G880" s="37" t="s">
        <v>49</v>
      </c>
      <c r="H880" s="39" t="s">
        <v>2397</v>
      </c>
      <c r="I880" s="19"/>
      <c r="J880" s="19" t="str">
        <f t="array" ref="J880">IF($I880="","",IFERROR(INDEX(Legend!$C$41:$C$45,MATCH($I880,Legend!$B$41:$B$45,0)),""))</f>
        <v/>
      </c>
      <c r="K880" s="19"/>
    </row>
    <row r="881" ht="15.75" customHeight="1">
      <c r="A881" s="18">
        <v>877.0</v>
      </c>
      <c r="B881" s="19" t="s">
        <v>958</v>
      </c>
      <c r="C881" s="19" t="s">
        <v>2394</v>
      </c>
      <c r="D881" s="19" t="s">
        <v>2398</v>
      </c>
      <c r="E881" s="53" t="s">
        <v>42</v>
      </c>
      <c r="F881" s="31" t="s">
        <v>34</v>
      </c>
      <c r="G881" s="37" t="s">
        <v>49</v>
      </c>
      <c r="H881" s="39"/>
      <c r="I881" s="19"/>
      <c r="J881" s="19" t="str">
        <f t="array" ref="J881">IF($I881="","",IFERROR(INDEX(Legend!$C$41:$C$45,MATCH($I881,Legend!$B$41:$B$45,0)),""))</f>
        <v/>
      </c>
      <c r="K881" s="19"/>
    </row>
    <row r="882" ht="15.75" customHeight="1">
      <c r="A882" s="18">
        <v>878.0</v>
      </c>
      <c r="B882" s="19" t="s">
        <v>958</v>
      </c>
      <c r="C882" s="19" t="s">
        <v>2394</v>
      </c>
      <c r="D882" s="19" t="s">
        <v>2399</v>
      </c>
      <c r="E882" s="53" t="s">
        <v>42</v>
      </c>
      <c r="F882" s="31" t="s">
        <v>34</v>
      </c>
      <c r="G882" s="37" t="s">
        <v>49</v>
      </c>
      <c r="H882" s="39" t="s">
        <v>2400</v>
      </c>
      <c r="I882" s="19"/>
      <c r="J882" s="19" t="str">
        <f t="array" ref="J882">IF($I882="","",IFERROR(INDEX(Legend!$C$41:$C$45,MATCH($I882,Legend!$B$41:$B$45,0)),""))</f>
        <v/>
      </c>
      <c r="K882" s="19"/>
    </row>
    <row r="883" ht="15.75" customHeight="1">
      <c r="A883" s="18">
        <v>879.0</v>
      </c>
      <c r="B883" s="19" t="s">
        <v>958</v>
      </c>
      <c r="C883" s="19" t="s">
        <v>2394</v>
      </c>
      <c r="D883" s="19" t="s">
        <v>2401</v>
      </c>
      <c r="E883" s="53" t="s">
        <v>42</v>
      </c>
      <c r="F883" s="31" t="s">
        <v>34</v>
      </c>
      <c r="G883" s="37" t="s">
        <v>49</v>
      </c>
      <c r="H883" s="39" t="s">
        <v>2402</v>
      </c>
      <c r="I883" s="19"/>
      <c r="J883" s="19" t="str">
        <f t="array" ref="J883">IF($I883="","",IFERROR(INDEX(Legend!$C$41:$C$45,MATCH($I883,Legend!$B$41:$B$45,0)),""))</f>
        <v/>
      </c>
      <c r="K883" s="19"/>
    </row>
    <row r="884" ht="15.75" customHeight="1">
      <c r="A884" s="18">
        <v>880.0</v>
      </c>
      <c r="B884" s="19" t="s">
        <v>958</v>
      </c>
      <c r="C884" s="19" t="s">
        <v>2394</v>
      </c>
      <c r="D884" s="19" t="s">
        <v>2403</v>
      </c>
      <c r="E884" s="53" t="s">
        <v>42</v>
      </c>
      <c r="F884" s="31" t="s">
        <v>34</v>
      </c>
      <c r="G884" s="37" t="s">
        <v>49</v>
      </c>
      <c r="H884" s="39"/>
      <c r="I884" s="19"/>
      <c r="J884" s="19" t="str">
        <f t="array" ref="J884">IF($I884="","",IFERROR(INDEX(Legend!$C$41:$C$45,MATCH($I884,Legend!$B$41:$B$45,0)),""))</f>
        <v/>
      </c>
      <c r="K884" s="19"/>
    </row>
    <row r="885" ht="15.75" customHeight="1">
      <c r="A885" s="18">
        <v>881.0</v>
      </c>
      <c r="B885" s="19" t="s">
        <v>958</v>
      </c>
      <c r="C885" s="19" t="s">
        <v>2394</v>
      </c>
      <c r="D885" s="19" t="s">
        <v>2404</v>
      </c>
      <c r="E885" s="53" t="s">
        <v>42</v>
      </c>
      <c r="F885" s="48" t="s">
        <v>77</v>
      </c>
      <c r="G885" s="37" t="s">
        <v>49</v>
      </c>
      <c r="H885" s="39"/>
      <c r="I885" s="19"/>
      <c r="J885" s="19" t="str">
        <f t="array" ref="J885">IF($I885="","",IFERROR(INDEX(Legend!$C$41:$C$45,MATCH($I885,Legend!$B$41:$B$45,0)),""))</f>
        <v/>
      </c>
      <c r="K885" s="19"/>
    </row>
    <row r="886" ht="15.75" customHeight="1">
      <c r="A886" s="18">
        <v>882.0</v>
      </c>
      <c r="B886" s="19" t="s">
        <v>958</v>
      </c>
      <c r="C886" s="19" t="s">
        <v>2394</v>
      </c>
      <c r="D886" s="19" t="s">
        <v>2405</v>
      </c>
      <c r="E886" s="53" t="s">
        <v>42</v>
      </c>
      <c r="F886" s="31" t="s">
        <v>34</v>
      </c>
      <c r="G886" s="46" t="s">
        <v>50</v>
      </c>
      <c r="H886" s="39" t="s">
        <v>2406</v>
      </c>
      <c r="I886" s="19"/>
      <c r="J886" s="19" t="str">
        <f t="array" ref="J886">IF($I886="","",IFERROR(INDEX(Legend!$C$41:$C$45,MATCH($I886,Legend!$B$41:$B$45,0)),""))</f>
        <v/>
      </c>
      <c r="K886" s="19"/>
    </row>
    <row r="887" ht="15.75" customHeight="1">
      <c r="A887" s="18">
        <v>883.0</v>
      </c>
      <c r="B887" s="19" t="s">
        <v>958</v>
      </c>
      <c r="C887" s="19" t="s">
        <v>2394</v>
      </c>
      <c r="D887" s="19" t="s">
        <v>2407</v>
      </c>
      <c r="E887" s="53" t="s">
        <v>42</v>
      </c>
      <c r="F887" s="31" t="s">
        <v>34</v>
      </c>
      <c r="G887" s="46" t="s">
        <v>50</v>
      </c>
      <c r="H887" s="39"/>
      <c r="I887" s="19"/>
      <c r="J887" s="19" t="str">
        <f t="array" ref="J887">IF($I887="","",IFERROR(INDEX(Legend!$C$41:$C$45,MATCH($I887,Legend!$B$41:$B$45,0)),""))</f>
        <v/>
      </c>
      <c r="K887" s="19"/>
    </row>
    <row r="888" ht="15.75" customHeight="1">
      <c r="A888" s="18">
        <v>884.0</v>
      </c>
      <c r="B888" s="19" t="s">
        <v>958</v>
      </c>
      <c r="C888" s="19" t="s">
        <v>2394</v>
      </c>
      <c r="D888" s="19" t="s">
        <v>2408</v>
      </c>
      <c r="E888" s="53" t="s">
        <v>42</v>
      </c>
      <c r="F888" s="31" t="s">
        <v>34</v>
      </c>
      <c r="G888" s="46" t="s">
        <v>50</v>
      </c>
      <c r="H888" s="39"/>
      <c r="I888" s="19"/>
      <c r="J888" s="19" t="str">
        <f t="array" ref="J888">IF($I888="","",IFERROR(INDEX(Legend!$C$41:$C$45,MATCH($I888,Legend!$B$41:$B$45,0)),""))</f>
        <v/>
      </c>
      <c r="K888" s="19"/>
    </row>
    <row r="889" ht="15.75" customHeight="1">
      <c r="A889" s="18">
        <v>885.0</v>
      </c>
      <c r="B889" s="19" t="s">
        <v>958</v>
      </c>
      <c r="C889" s="19" t="s">
        <v>2394</v>
      </c>
      <c r="D889" s="19" t="s">
        <v>2409</v>
      </c>
      <c r="E889" s="53" t="s">
        <v>42</v>
      </c>
      <c r="F889" s="31" t="s">
        <v>34</v>
      </c>
      <c r="G889" s="46" t="s">
        <v>50</v>
      </c>
      <c r="H889" s="39"/>
      <c r="I889" s="19"/>
      <c r="J889" s="19" t="str">
        <f t="array" ref="J889">IF($I889="","",IFERROR(INDEX(Legend!$C$41:$C$45,MATCH($I889,Legend!$B$41:$B$45,0)),""))</f>
        <v/>
      </c>
      <c r="K889" s="19"/>
    </row>
    <row r="890" ht="15.75" customHeight="1">
      <c r="A890" s="18">
        <v>886.0</v>
      </c>
      <c r="B890" s="19" t="s">
        <v>958</v>
      </c>
      <c r="C890" s="19" t="s">
        <v>2394</v>
      </c>
      <c r="D890" s="19" t="s">
        <v>2410</v>
      </c>
      <c r="E890" s="53" t="s">
        <v>42</v>
      </c>
      <c r="F890" s="48" t="s">
        <v>77</v>
      </c>
      <c r="G890" s="46" t="s">
        <v>50</v>
      </c>
      <c r="H890" s="39"/>
      <c r="I890" s="19"/>
      <c r="J890" s="19" t="str">
        <f t="array" ref="J890">IF($I890="","",IFERROR(INDEX(Legend!$C$41:$C$45,MATCH($I890,Legend!$B$41:$B$45,0)),""))</f>
        <v/>
      </c>
      <c r="K890" s="19"/>
    </row>
    <row r="891" ht="15.75" customHeight="1">
      <c r="A891" s="18">
        <v>887.0</v>
      </c>
      <c r="B891" s="19" t="s">
        <v>958</v>
      </c>
      <c r="C891" s="19" t="s">
        <v>2394</v>
      </c>
      <c r="D891" s="19" t="s">
        <v>2411</v>
      </c>
      <c r="E891" s="53" t="s">
        <v>42</v>
      </c>
      <c r="F891" s="31" t="s">
        <v>34</v>
      </c>
      <c r="G891" s="46" t="s">
        <v>50</v>
      </c>
      <c r="H891" s="39"/>
      <c r="I891" s="19"/>
      <c r="J891" s="19" t="str">
        <f t="array" ref="J891">IF($I891="","",IFERROR(INDEX(Legend!$C$41:$C$45,MATCH($I891,Legend!$B$41:$B$45,0)),""))</f>
        <v/>
      </c>
      <c r="K891" s="19"/>
    </row>
    <row r="892" ht="15.75" customHeight="1">
      <c r="A892" s="18">
        <v>888.0</v>
      </c>
      <c r="B892" s="19" t="s">
        <v>958</v>
      </c>
      <c r="C892" s="19" t="s">
        <v>2394</v>
      </c>
      <c r="D892" s="19" t="s">
        <v>1580</v>
      </c>
      <c r="E892" s="53" t="s">
        <v>42</v>
      </c>
      <c r="F892" s="31" t="s">
        <v>34</v>
      </c>
      <c r="G892" s="37" t="s">
        <v>49</v>
      </c>
      <c r="H892" s="39"/>
      <c r="I892" s="19"/>
      <c r="J892" s="19" t="str">
        <f t="array" ref="J892">IF($I892="","",IFERROR(INDEX(Legend!$C$41:$C$45,MATCH($I892,Legend!$B$41:$B$45,0)),""))</f>
        <v/>
      </c>
      <c r="K892" s="19"/>
    </row>
    <row r="893" ht="15.75" customHeight="1">
      <c r="A893" s="18">
        <v>889.0</v>
      </c>
      <c r="B893" s="19" t="s">
        <v>958</v>
      </c>
      <c r="C893" s="19" t="s">
        <v>2412</v>
      </c>
      <c r="D893" s="19" t="s">
        <v>2413</v>
      </c>
      <c r="E893" s="53" t="s">
        <v>42</v>
      </c>
      <c r="F893" s="48" t="s">
        <v>77</v>
      </c>
      <c r="G893" s="37" t="s">
        <v>49</v>
      </c>
      <c r="H893" s="39" t="s">
        <v>2414</v>
      </c>
      <c r="I893" s="19"/>
      <c r="J893" s="19" t="str">
        <f t="array" ref="J893">IF($I893="","",IFERROR(INDEX(Legend!$C$41:$C$45,MATCH($I893,Legend!$B$41:$B$45,0)),""))</f>
        <v/>
      </c>
      <c r="K893" s="19"/>
    </row>
    <row r="894" ht="15.75" customHeight="1">
      <c r="A894" s="18">
        <v>890.0</v>
      </c>
      <c r="B894" s="19" t="s">
        <v>958</v>
      </c>
      <c r="C894" s="19" t="s">
        <v>2412</v>
      </c>
      <c r="D894" s="19" t="s">
        <v>2415</v>
      </c>
      <c r="E894" s="53" t="s">
        <v>42</v>
      </c>
      <c r="F894" s="31" t="s">
        <v>34</v>
      </c>
      <c r="G894" s="37" t="s">
        <v>49</v>
      </c>
      <c r="H894" s="39"/>
      <c r="I894" s="19"/>
      <c r="J894" s="19" t="str">
        <f t="array" ref="J894">IF($I894="","",IFERROR(INDEX(Legend!$C$41:$C$45,MATCH($I894,Legend!$B$41:$B$45,0)),""))</f>
        <v/>
      </c>
      <c r="K894" s="19"/>
    </row>
    <row r="895" ht="15.75" customHeight="1">
      <c r="A895" s="18">
        <v>891.0</v>
      </c>
      <c r="B895" s="19" t="s">
        <v>958</v>
      </c>
      <c r="C895" s="19" t="s">
        <v>2412</v>
      </c>
      <c r="D895" s="19" t="s">
        <v>2416</v>
      </c>
      <c r="E895" s="53" t="s">
        <v>42</v>
      </c>
      <c r="F895" s="48" t="s">
        <v>77</v>
      </c>
      <c r="G895" s="37" t="s">
        <v>49</v>
      </c>
      <c r="H895" s="39" t="s">
        <v>2417</v>
      </c>
      <c r="I895" s="19"/>
      <c r="J895" s="19" t="str">
        <f t="array" ref="J895">IF($I895="","",IFERROR(INDEX(Legend!$C$41:$C$45,MATCH($I895,Legend!$B$41:$B$45,0)),""))</f>
        <v/>
      </c>
      <c r="K895" s="19"/>
    </row>
    <row r="896" ht="15.75" customHeight="1">
      <c r="A896" s="18">
        <v>892.0</v>
      </c>
      <c r="B896" s="19" t="s">
        <v>958</v>
      </c>
      <c r="C896" s="19" t="s">
        <v>2412</v>
      </c>
      <c r="D896" s="19" t="s">
        <v>2418</v>
      </c>
      <c r="E896" s="53" t="s">
        <v>42</v>
      </c>
      <c r="F896" s="31" t="s">
        <v>34</v>
      </c>
      <c r="G896" s="37" t="s">
        <v>49</v>
      </c>
      <c r="H896" s="39"/>
      <c r="I896" s="19"/>
      <c r="J896" s="19" t="str">
        <f t="array" ref="J896">IF($I896="","",IFERROR(INDEX(Legend!$C$41:$C$45,MATCH($I896,Legend!$B$41:$B$45,0)),""))</f>
        <v/>
      </c>
      <c r="K896" s="19"/>
    </row>
    <row r="897" ht="15.75" customHeight="1">
      <c r="A897" s="18">
        <v>893.0</v>
      </c>
      <c r="B897" s="19" t="s">
        <v>958</v>
      </c>
      <c r="C897" s="19" t="s">
        <v>2412</v>
      </c>
      <c r="D897" s="19" t="s">
        <v>2419</v>
      </c>
      <c r="E897" s="53" t="s">
        <v>42</v>
      </c>
      <c r="F897" s="48" t="s">
        <v>77</v>
      </c>
      <c r="G897" s="37" t="s">
        <v>49</v>
      </c>
      <c r="H897" s="39" t="s">
        <v>2420</v>
      </c>
      <c r="I897" s="19"/>
      <c r="J897" s="19" t="str">
        <f t="array" ref="J897">IF($I897="","",IFERROR(INDEX(Legend!$C$41:$C$45,MATCH($I897,Legend!$B$41:$B$45,0)),""))</f>
        <v/>
      </c>
      <c r="K897" s="19"/>
    </row>
    <row r="898" ht="15.75" customHeight="1">
      <c r="A898" s="18">
        <v>894.0</v>
      </c>
      <c r="B898" s="19" t="s">
        <v>958</v>
      </c>
      <c r="C898" s="19" t="s">
        <v>2412</v>
      </c>
      <c r="D898" s="19" t="s">
        <v>2421</v>
      </c>
      <c r="E898" s="53" t="s">
        <v>42</v>
      </c>
      <c r="F898" s="31" t="s">
        <v>34</v>
      </c>
      <c r="G898" s="37" t="s">
        <v>49</v>
      </c>
      <c r="H898" s="39"/>
      <c r="I898" s="19"/>
      <c r="J898" s="19" t="str">
        <f t="array" ref="J898">IF($I898="","",IFERROR(INDEX(Legend!$C$41:$C$45,MATCH($I898,Legend!$B$41:$B$45,0)),""))</f>
        <v/>
      </c>
      <c r="K898" s="19"/>
    </row>
    <row r="899" ht="15.75" customHeight="1">
      <c r="A899" s="18">
        <v>895.0</v>
      </c>
      <c r="B899" s="19" t="s">
        <v>958</v>
      </c>
      <c r="C899" s="19" t="s">
        <v>2412</v>
      </c>
      <c r="D899" s="19" t="s">
        <v>2422</v>
      </c>
      <c r="E899" s="53" t="s">
        <v>42</v>
      </c>
      <c r="F899" s="31" t="s">
        <v>34</v>
      </c>
      <c r="G899" s="37" t="s">
        <v>49</v>
      </c>
      <c r="H899" s="39"/>
      <c r="I899" s="19"/>
      <c r="J899" s="19" t="str">
        <f t="array" ref="J899">IF($I899="","",IFERROR(INDEX(Legend!$C$41:$C$45,MATCH($I899,Legend!$B$41:$B$45,0)),""))</f>
        <v/>
      </c>
      <c r="K899" s="19"/>
    </row>
    <row r="900" ht="15.75" customHeight="1">
      <c r="A900" s="18">
        <v>896.0</v>
      </c>
      <c r="B900" s="19" t="s">
        <v>958</v>
      </c>
      <c r="C900" s="19" t="s">
        <v>2412</v>
      </c>
      <c r="D900" s="19" t="s">
        <v>2423</v>
      </c>
      <c r="E900" s="53" t="s">
        <v>42</v>
      </c>
      <c r="F900" s="31" t="s">
        <v>34</v>
      </c>
      <c r="G900" s="37" t="s">
        <v>49</v>
      </c>
      <c r="H900" s="39" t="s">
        <v>2424</v>
      </c>
      <c r="I900" s="19"/>
      <c r="J900" s="19" t="str">
        <f t="array" ref="J900">IF($I900="","",IFERROR(INDEX(Legend!$C$41:$C$45,MATCH($I900,Legend!$B$41:$B$45,0)),""))</f>
        <v/>
      </c>
      <c r="K900" s="19"/>
    </row>
    <row r="901" ht="15.75" customHeight="1">
      <c r="A901" s="18">
        <v>897.0</v>
      </c>
      <c r="B901" s="19" t="s">
        <v>958</v>
      </c>
      <c r="C901" s="19" t="s">
        <v>2412</v>
      </c>
      <c r="D901" s="19" t="s">
        <v>2425</v>
      </c>
      <c r="E901" s="53" t="s">
        <v>42</v>
      </c>
      <c r="F901" s="31" t="s">
        <v>34</v>
      </c>
      <c r="G901" s="37" t="s">
        <v>49</v>
      </c>
      <c r="H901" s="39"/>
      <c r="I901" s="19"/>
      <c r="J901" s="19" t="str">
        <f t="array" ref="J901">IF($I901="","",IFERROR(INDEX(Legend!$C$41:$C$45,MATCH($I901,Legend!$B$41:$B$45,0)),""))</f>
        <v/>
      </c>
      <c r="K901" s="19"/>
    </row>
    <row r="902" ht="15.75" customHeight="1">
      <c r="A902" s="18">
        <v>898.0</v>
      </c>
      <c r="B902" s="19" t="s">
        <v>958</v>
      </c>
      <c r="C902" s="19" t="s">
        <v>2412</v>
      </c>
      <c r="D902" s="19" t="s">
        <v>2426</v>
      </c>
      <c r="E902" s="53" t="s">
        <v>42</v>
      </c>
      <c r="F902" s="48" t="s">
        <v>77</v>
      </c>
      <c r="G902" s="46" t="s">
        <v>50</v>
      </c>
      <c r="H902" s="39"/>
      <c r="I902" s="19"/>
      <c r="J902" s="19" t="str">
        <f t="array" ref="J902">IF($I902="","",IFERROR(INDEX(Legend!$C$41:$C$45,MATCH($I902,Legend!$B$41:$B$45,0)),""))</f>
        <v/>
      </c>
      <c r="K902" s="19"/>
    </row>
    <row r="903" ht="15.75" customHeight="1">
      <c r="A903" s="18">
        <v>899.0</v>
      </c>
      <c r="B903" s="19" t="s">
        <v>958</v>
      </c>
      <c r="C903" s="19" t="s">
        <v>2412</v>
      </c>
      <c r="D903" s="19" t="s">
        <v>2427</v>
      </c>
      <c r="E903" s="53" t="s">
        <v>42</v>
      </c>
      <c r="F903" s="31" t="s">
        <v>34</v>
      </c>
      <c r="G903" s="37" t="s">
        <v>49</v>
      </c>
      <c r="H903" s="39" t="s">
        <v>2428</v>
      </c>
      <c r="I903" s="19"/>
      <c r="J903" s="19" t="str">
        <f t="array" ref="J903">IF($I903="","",IFERROR(INDEX(Legend!$C$41:$C$45,MATCH($I903,Legend!$B$41:$B$45,0)),""))</f>
        <v/>
      </c>
      <c r="K903" s="19"/>
    </row>
    <row r="904" ht="15.75" customHeight="1">
      <c r="A904" s="18">
        <v>900.0</v>
      </c>
      <c r="B904" s="19" t="s">
        <v>958</v>
      </c>
      <c r="C904" s="19" t="s">
        <v>2412</v>
      </c>
      <c r="D904" s="19" t="s">
        <v>2429</v>
      </c>
      <c r="E904" s="53" t="s">
        <v>42</v>
      </c>
      <c r="F904" s="48" t="s">
        <v>77</v>
      </c>
      <c r="G904" s="37" t="s">
        <v>49</v>
      </c>
      <c r="H904" s="39"/>
      <c r="I904" s="19"/>
      <c r="J904" s="19" t="str">
        <f t="array" ref="J904">IF($I904="","",IFERROR(INDEX(Legend!$C$41:$C$45,MATCH($I904,Legend!$B$41:$B$45,0)),""))</f>
        <v/>
      </c>
      <c r="K904" s="19"/>
    </row>
    <row r="905" ht="15.75" customHeight="1">
      <c r="A905" s="18">
        <v>901.0</v>
      </c>
      <c r="B905" s="19" t="s">
        <v>958</v>
      </c>
      <c r="C905" s="19" t="s">
        <v>2412</v>
      </c>
      <c r="D905" s="19" t="s">
        <v>2430</v>
      </c>
      <c r="E905" s="53" t="s">
        <v>42</v>
      </c>
      <c r="F905" s="31" t="s">
        <v>34</v>
      </c>
      <c r="G905" s="46" t="s">
        <v>50</v>
      </c>
      <c r="H905" s="39" t="s">
        <v>2431</v>
      </c>
      <c r="I905" s="19"/>
      <c r="J905" s="19" t="str">
        <f t="array" ref="J905">IF($I905="","",IFERROR(INDEX(Legend!$C$41:$C$45,MATCH($I905,Legend!$B$41:$B$45,0)),""))</f>
        <v/>
      </c>
      <c r="K905" s="19"/>
    </row>
    <row r="906" ht="15.75" customHeight="1">
      <c r="A906" s="18">
        <v>902.0</v>
      </c>
      <c r="B906" s="19" t="s">
        <v>958</v>
      </c>
      <c r="C906" s="19" t="s">
        <v>2412</v>
      </c>
      <c r="D906" s="19" t="s">
        <v>2432</v>
      </c>
      <c r="E906" s="53" t="s">
        <v>42</v>
      </c>
      <c r="F906" s="31" t="s">
        <v>34</v>
      </c>
      <c r="G906" s="37" t="s">
        <v>49</v>
      </c>
      <c r="H906" s="39"/>
      <c r="I906" s="19"/>
      <c r="J906" s="19" t="str">
        <f t="array" ref="J906">IF($I906="","",IFERROR(INDEX(Legend!$C$41:$C$45,MATCH($I906,Legend!$B$41:$B$45,0)),""))</f>
        <v/>
      </c>
      <c r="K906" s="19"/>
    </row>
    <row r="907" ht="15.75" customHeight="1">
      <c r="A907" s="18">
        <v>903.0</v>
      </c>
      <c r="B907" s="19" t="s">
        <v>958</v>
      </c>
      <c r="C907" s="19" t="s">
        <v>2412</v>
      </c>
      <c r="D907" s="19" t="s">
        <v>2433</v>
      </c>
      <c r="E907" s="53" t="s">
        <v>42</v>
      </c>
      <c r="F907" s="31" t="s">
        <v>34</v>
      </c>
      <c r="G907" s="37" t="s">
        <v>49</v>
      </c>
      <c r="H907" s="39" t="s">
        <v>2434</v>
      </c>
      <c r="I907" s="19"/>
      <c r="J907" s="19" t="str">
        <f t="array" ref="J907">IF($I907="","",IFERROR(INDEX(Legend!$C$41:$C$45,MATCH($I907,Legend!$B$41:$B$45,0)),""))</f>
        <v/>
      </c>
      <c r="K907" s="19"/>
    </row>
    <row r="908" ht="15.75" customHeight="1">
      <c r="A908" s="18">
        <v>904.0</v>
      </c>
      <c r="B908" s="19" t="s">
        <v>958</v>
      </c>
      <c r="C908" s="19" t="s">
        <v>2412</v>
      </c>
      <c r="D908" s="19" t="s">
        <v>2435</v>
      </c>
      <c r="E908" s="53" t="s">
        <v>42</v>
      </c>
      <c r="F908" s="31" t="s">
        <v>34</v>
      </c>
      <c r="G908" s="46" t="s">
        <v>50</v>
      </c>
      <c r="H908" s="39"/>
      <c r="I908" s="19"/>
      <c r="J908" s="19" t="str">
        <f t="array" ref="J908">IF($I908="","",IFERROR(INDEX(Legend!$C$41:$C$45,MATCH($I908,Legend!$B$41:$B$45,0)),""))</f>
        <v/>
      </c>
      <c r="K908" s="19"/>
    </row>
    <row r="909" ht="15.75" customHeight="1">
      <c r="A909" s="18">
        <v>905.0</v>
      </c>
      <c r="B909" s="19" t="s">
        <v>958</v>
      </c>
      <c r="C909" s="19" t="s">
        <v>2412</v>
      </c>
      <c r="D909" s="19" t="s">
        <v>2436</v>
      </c>
      <c r="E909" s="53" t="s">
        <v>42</v>
      </c>
      <c r="F909" s="31" t="s">
        <v>34</v>
      </c>
      <c r="G909" s="37" t="s">
        <v>49</v>
      </c>
      <c r="H909" s="39"/>
      <c r="I909" s="19"/>
      <c r="J909" s="19" t="str">
        <f t="array" ref="J909">IF($I909="","",IFERROR(INDEX(Legend!$C$41:$C$45,MATCH($I909,Legend!$B$41:$B$45,0)),""))</f>
        <v/>
      </c>
      <c r="K909" s="19"/>
    </row>
    <row r="910" ht="15.75" customHeight="1">
      <c r="A910" s="18">
        <v>906.0</v>
      </c>
      <c r="B910" s="19" t="s">
        <v>958</v>
      </c>
      <c r="C910" s="19" t="s">
        <v>2412</v>
      </c>
      <c r="D910" s="19" t="s">
        <v>2437</v>
      </c>
      <c r="E910" s="53" t="s">
        <v>42</v>
      </c>
      <c r="F910" s="31" t="s">
        <v>34</v>
      </c>
      <c r="G910" s="46" t="s">
        <v>50</v>
      </c>
      <c r="H910" s="39"/>
      <c r="I910" s="19"/>
      <c r="J910" s="19" t="str">
        <f t="array" ref="J910">IF($I910="","",IFERROR(INDEX(Legend!$C$41:$C$45,MATCH($I910,Legend!$B$41:$B$45,0)),""))</f>
        <v/>
      </c>
      <c r="K910" s="19"/>
    </row>
    <row r="911" ht="15.75" customHeight="1">
      <c r="A911" s="18">
        <v>907.0</v>
      </c>
      <c r="B911" s="19" t="s">
        <v>958</v>
      </c>
      <c r="C911" s="19" t="s">
        <v>2412</v>
      </c>
      <c r="D911" s="19" t="s">
        <v>2438</v>
      </c>
      <c r="E911" s="53" t="s">
        <v>42</v>
      </c>
      <c r="F911" s="31" t="s">
        <v>34</v>
      </c>
      <c r="G911" s="37" t="s">
        <v>49</v>
      </c>
      <c r="H911" s="39" t="s">
        <v>2439</v>
      </c>
      <c r="I911" s="19"/>
      <c r="J911" s="19" t="str">
        <f t="array" ref="J911">IF($I911="","",IFERROR(INDEX(Legend!$C$41:$C$45,MATCH($I911,Legend!$B$41:$B$45,0)),""))</f>
        <v/>
      </c>
      <c r="K911" s="19"/>
    </row>
    <row r="912" ht="15.75" customHeight="1">
      <c r="A912" s="18">
        <v>908.0</v>
      </c>
      <c r="B912" s="19" t="s">
        <v>958</v>
      </c>
      <c r="C912" s="19" t="s">
        <v>2412</v>
      </c>
      <c r="D912" s="19" t="s">
        <v>2440</v>
      </c>
      <c r="E912" s="53" t="s">
        <v>42</v>
      </c>
      <c r="F912" s="31" t="s">
        <v>34</v>
      </c>
      <c r="G912" s="46" t="s">
        <v>50</v>
      </c>
      <c r="H912" s="39" t="s">
        <v>2441</v>
      </c>
      <c r="I912" s="19"/>
      <c r="J912" s="19" t="str">
        <f t="array" ref="J912">IF($I912="","",IFERROR(INDEX(Legend!$C$41:$C$45,MATCH($I912,Legend!$B$41:$B$45,0)),""))</f>
        <v/>
      </c>
      <c r="K912" s="19"/>
    </row>
    <row r="913" ht="15.75" customHeight="1">
      <c r="A913" s="18">
        <v>909.0</v>
      </c>
      <c r="B913" s="19" t="s">
        <v>958</v>
      </c>
      <c r="C913" s="19" t="s">
        <v>2412</v>
      </c>
      <c r="D913" s="19" t="s">
        <v>2442</v>
      </c>
      <c r="E913" s="53" t="s">
        <v>42</v>
      </c>
      <c r="F913" s="31" t="s">
        <v>34</v>
      </c>
      <c r="G913" s="46" t="s">
        <v>50</v>
      </c>
      <c r="H913" s="39"/>
      <c r="I913" s="19"/>
      <c r="J913" s="19" t="str">
        <f t="array" ref="J913">IF($I913="","",IFERROR(INDEX(Legend!$C$41:$C$45,MATCH($I913,Legend!$B$41:$B$45,0)),""))</f>
        <v/>
      </c>
      <c r="K913" s="19"/>
    </row>
    <row r="914" ht="15.75" customHeight="1">
      <c r="A914" s="18">
        <v>910.0</v>
      </c>
      <c r="B914" s="19" t="s">
        <v>958</v>
      </c>
      <c r="C914" s="19" t="s">
        <v>2443</v>
      </c>
      <c r="D914" s="19" t="s">
        <v>2444</v>
      </c>
      <c r="E914" s="53" t="s">
        <v>42</v>
      </c>
      <c r="F914" s="48" t="s">
        <v>77</v>
      </c>
      <c r="G914" s="37" t="s">
        <v>49</v>
      </c>
      <c r="H914" s="39" t="s">
        <v>2445</v>
      </c>
      <c r="I914" s="19"/>
      <c r="J914" s="19" t="str">
        <f t="array" ref="J914">IF($I914="","",IFERROR(INDEX(Legend!$C$41:$C$45,MATCH($I914,Legend!$B$41:$B$45,0)),""))</f>
        <v/>
      </c>
      <c r="K914" s="19"/>
    </row>
    <row r="915" ht="15.75" customHeight="1">
      <c r="A915" s="18">
        <v>911.0</v>
      </c>
      <c r="B915" s="19" t="s">
        <v>958</v>
      </c>
      <c r="C915" s="19" t="s">
        <v>2443</v>
      </c>
      <c r="D915" s="19" t="s">
        <v>2446</v>
      </c>
      <c r="E915" s="53" t="s">
        <v>42</v>
      </c>
      <c r="F915" s="31" t="s">
        <v>34</v>
      </c>
      <c r="G915" s="37" t="s">
        <v>49</v>
      </c>
      <c r="H915" s="39"/>
      <c r="I915" s="19"/>
      <c r="J915" s="19" t="str">
        <f t="array" ref="J915">IF($I915="","",IFERROR(INDEX(Legend!$C$41:$C$45,MATCH($I915,Legend!$B$41:$B$45,0)),""))</f>
        <v/>
      </c>
      <c r="K915" s="19"/>
    </row>
    <row r="916" ht="15.75" customHeight="1">
      <c r="A916" s="18">
        <v>912.0</v>
      </c>
      <c r="B916" s="19" t="s">
        <v>958</v>
      </c>
      <c r="C916" s="19" t="s">
        <v>2443</v>
      </c>
      <c r="D916" s="19" t="s">
        <v>2447</v>
      </c>
      <c r="E916" s="53" t="s">
        <v>42</v>
      </c>
      <c r="F916" s="54" t="s">
        <v>46</v>
      </c>
      <c r="G916" s="37" t="s">
        <v>49</v>
      </c>
      <c r="H916" s="39" t="s">
        <v>2448</v>
      </c>
      <c r="I916" s="19"/>
      <c r="J916" s="19" t="str">
        <f t="array" ref="J916">IF($I916="","",IFERROR(INDEX(Legend!$C$41:$C$45,MATCH($I916,Legend!$B$41:$B$45,0)),""))</f>
        <v/>
      </c>
      <c r="K916" s="19"/>
    </row>
    <row r="917" ht="15.75" customHeight="1">
      <c r="A917" s="18">
        <v>913.0</v>
      </c>
      <c r="B917" s="19" t="s">
        <v>958</v>
      </c>
      <c r="C917" s="19" t="s">
        <v>2443</v>
      </c>
      <c r="D917" s="19" t="s">
        <v>2449</v>
      </c>
      <c r="E917" s="53" t="s">
        <v>42</v>
      </c>
      <c r="F917" s="48" t="s">
        <v>77</v>
      </c>
      <c r="G917" s="37" t="s">
        <v>49</v>
      </c>
      <c r="H917" s="39" t="s">
        <v>2450</v>
      </c>
      <c r="I917" s="19"/>
      <c r="J917" s="19" t="str">
        <f t="array" ref="J917">IF($I917="","",IFERROR(INDEX(Legend!$C$41:$C$45,MATCH($I917,Legend!$B$41:$B$45,0)),""))</f>
        <v/>
      </c>
      <c r="K917" s="19"/>
    </row>
    <row r="918" ht="15.75" customHeight="1">
      <c r="A918" s="18">
        <v>914.0</v>
      </c>
      <c r="B918" s="19" t="s">
        <v>958</v>
      </c>
      <c r="C918" s="19" t="s">
        <v>2443</v>
      </c>
      <c r="D918" s="19" t="s">
        <v>2451</v>
      </c>
      <c r="E918" s="53" t="s">
        <v>42</v>
      </c>
      <c r="F918" s="31" t="s">
        <v>34</v>
      </c>
      <c r="G918" s="46" t="s">
        <v>50</v>
      </c>
      <c r="H918" s="39"/>
      <c r="I918" s="19"/>
      <c r="J918" s="19" t="str">
        <f t="array" ref="J918">IF($I918="","",IFERROR(INDEX(Legend!$C$41:$C$45,MATCH($I918,Legend!$B$41:$B$45,0)),""))</f>
        <v/>
      </c>
      <c r="K918" s="19"/>
    </row>
    <row r="919" ht="15.75" customHeight="1">
      <c r="A919" s="18">
        <v>915.0</v>
      </c>
      <c r="B919" s="19" t="s">
        <v>958</v>
      </c>
      <c r="C919" s="19" t="s">
        <v>2443</v>
      </c>
      <c r="D919" s="19" t="s">
        <v>2452</v>
      </c>
      <c r="E919" s="53" t="s">
        <v>42</v>
      </c>
      <c r="F919" s="31" t="s">
        <v>34</v>
      </c>
      <c r="G919" s="37" t="s">
        <v>49</v>
      </c>
      <c r="H919" s="39"/>
      <c r="I919" s="19"/>
      <c r="J919" s="19" t="str">
        <f t="array" ref="J919">IF($I919="","",IFERROR(INDEX(Legend!$C$41:$C$45,MATCH($I919,Legend!$B$41:$B$45,0)),""))</f>
        <v/>
      </c>
      <c r="K919" s="19"/>
    </row>
    <row r="920" ht="15.75" customHeight="1">
      <c r="A920" s="18">
        <v>916.0</v>
      </c>
      <c r="B920" s="19" t="s">
        <v>958</v>
      </c>
      <c r="C920" s="19" t="s">
        <v>2443</v>
      </c>
      <c r="D920" s="19" t="s">
        <v>2453</v>
      </c>
      <c r="E920" s="53" t="s">
        <v>42</v>
      </c>
      <c r="F920" s="31" t="s">
        <v>34</v>
      </c>
      <c r="G920" s="46" t="s">
        <v>50</v>
      </c>
      <c r="H920" s="39"/>
      <c r="I920" s="19"/>
      <c r="J920" s="19" t="str">
        <f t="array" ref="J920">IF($I920="","",IFERROR(INDEX(Legend!$C$41:$C$45,MATCH($I920,Legend!$B$41:$B$45,0)),""))</f>
        <v/>
      </c>
      <c r="K920" s="19"/>
    </row>
    <row r="921" ht="15.75" customHeight="1">
      <c r="A921" s="18">
        <v>917.0</v>
      </c>
      <c r="B921" s="19" t="s">
        <v>958</v>
      </c>
      <c r="C921" s="19" t="s">
        <v>2443</v>
      </c>
      <c r="D921" s="19" t="s">
        <v>2454</v>
      </c>
      <c r="E921" s="53" t="s">
        <v>42</v>
      </c>
      <c r="F921" s="48" t="s">
        <v>77</v>
      </c>
      <c r="G921" s="37" t="s">
        <v>49</v>
      </c>
      <c r="H921" s="39" t="s">
        <v>2455</v>
      </c>
      <c r="I921" s="19"/>
      <c r="J921" s="19" t="str">
        <f t="array" ref="J921">IF($I921="","",IFERROR(INDEX(Legend!$C$41:$C$45,MATCH($I921,Legend!$B$41:$B$45,0)),""))</f>
        <v/>
      </c>
      <c r="K921" s="19"/>
    </row>
    <row r="922" ht="15.75" customHeight="1">
      <c r="A922" s="18">
        <v>918.0</v>
      </c>
      <c r="B922" s="19" t="s">
        <v>958</v>
      </c>
      <c r="C922" s="19" t="s">
        <v>2443</v>
      </c>
      <c r="D922" s="19" t="s">
        <v>2456</v>
      </c>
      <c r="E922" s="53" t="s">
        <v>42</v>
      </c>
      <c r="F922" s="31" t="s">
        <v>34</v>
      </c>
      <c r="G922" s="46" t="s">
        <v>50</v>
      </c>
      <c r="H922" s="39"/>
      <c r="I922" s="19"/>
      <c r="J922" s="19" t="str">
        <f t="array" ref="J922">IF($I922="","",IFERROR(INDEX(Legend!$C$41:$C$45,MATCH($I922,Legend!$B$41:$B$45,0)),""))</f>
        <v/>
      </c>
      <c r="K922" s="19"/>
    </row>
    <row r="923" ht="15.75" customHeight="1">
      <c r="A923" s="18">
        <v>919.0</v>
      </c>
      <c r="B923" s="19" t="s">
        <v>958</v>
      </c>
      <c r="C923" s="19" t="s">
        <v>2443</v>
      </c>
      <c r="D923" s="19" t="s">
        <v>2457</v>
      </c>
      <c r="E923" s="53" t="s">
        <v>42</v>
      </c>
      <c r="F923" s="31" t="s">
        <v>34</v>
      </c>
      <c r="G923" s="37" t="s">
        <v>49</v>
      </c>
      <c r="H923" s="39"/>
      <c r="I923" s="19"/>
      <c r="J923" s="19" t="str">
        <f t="array" ref="J923">IF($I923="","",IFERROR(INDEX(Legend!$C$41:$C$45,MATCH($I923,Legend!$B$41:$B$45,0)),""))</f>
        <v/>
      </c>
      <c r="K923" s="19"/>
    </row>
    <row r="924" ht="15.75" customHeight="1">
      <c r="A924" s="18">
        <v>920.0</v>
      </c>
      <c r="B924" s="19" t="s">
        <v>958</v>
      </c>
      <c r="C924" s="19" t="s">
        <v>2458</v>
      </c>
      <c r="D924" s="19" t="s">
        <v>2459</v>
      </c>
      <c r="E924" s="53" t="s">
        <v>42</v>
      </c>
      <c r="F924" s="31" t="s">
        <v>34</v>
      </c>
      <c r="G924" s="37" t="s">
        <v>49</v>
      </c>
      <c r="H924" s="39" t="s">
        <v>2460</v>
      </c>
      <c r="I924" s="19"/>
      <c r="J924" s="19" t="str">
        <f t="array" ref="J924">IF($I924="","",IFERROR(INDEX(Legend!$C$41:$C$45,MATCH($I924,Legend!$B$41:$B$45,0)),""))</f>
        <v/>
      </c>
      <c r="K924" s="19"/>
    </row>
    <row r="925" ht="15.75" customHeight="1">
      <c r="A925" s="18">
        <v>921.0</v>
      </c>
      <c r="B925" s="19" t="s">
        <v>958</v>
      </c>
      <c r="C925" s="19" t="s">
        <v>2458</v>
      </c>
      <c r="D925" s="19" t="s">
        <v>2461</v>
      </c>
      <c r="E925" s="53" t="s">
        <v>42</v>
      </c>
      <c r="F925" s="31" t="s">
        <v>34</v>
      </c>
      <c r="G925" s="37" t="s">
        <v>49</v>
      </c>
      <c r="H925" s="39" t="s">
        <v>2462</v>
      </c>
      <c r="I925" s="19"/>
      <c r="J925" s="19" t="str">
        <f t="array" ref="J925">IF($I925="","",IFERROR(INDEX(Legend!$C$41:$C$45,MATCH($I925,Legend!$B$41:$B$45,0)),""))</f>
        <v/>
      </c>
      <c r="K925" s="19"/>
    </row>
    <row r="926" ht="15.75" customHeight="1">
      <c r="A926" s="18">
        <v>922.0</v>
      </c>
      <c r="B926" s="19" t="s">
        <v>958</v>
      </c>
      <c r="C926" s="19" t="s">
        <v>2458</v>
      </c>
      <c r="D926" s="19" t="s">
        <v>2463</v>
      </c>
      <c r="E926" s="53" t="s">
        <v>42</v>
      </c>
      <c r="F926" s="31" t="s">
        <v>34</v>
      </c>
      <c r="G926" s="37" t="s">
        <v>49</v>
      </c>
      <c r="H926" s="39"/>
      <c r="I926" s="19"/>
      <c r="J926" s="19" t="str">
        <f t="array" ref="J926">IF($I926="","",IFERROR(INDEX(Legend!$C$41:$C$45,MATCH($I926,Legend!$B$41:$B$45,0)),""))</f>
        <v/>
      </c>
      <c r="K926" s="19"/>
    </row>
    <row r="927" ht="15.75" customHeight="1">
      <c r="A927" s="18">
        <v>923.0</v>
      </c>
      <c r="B927" s="19" t="s">
        <v>958</v>
      </c>
      <c r="C927" s="19" t="s">
        <v>2458</v>
      </c>
      <c r="D927" s="19" t="s">
        <v>2464</v>
      </c>
      <c r="E927" s="53" t="s">
        <v>42</v>
      </c>
      <c r="F927" s="31" t="s">
        <v>34</v>
      </c>
      <c r="G927" s="37" t="s">
        <v>49</v>
      </c>
      <c r="H927" s="39"/>
      <c r="I927" s="19"/>
      <c r="J927" s="19" t="str">
        <f t="array" ref="J927">IF($I927="","",IFERROR(INDEX(Legend!$C$41:$C$45,MATCH($I927,Legend!$B$41:$B$45,0)),""))</f>
        <v/>
      </c>
      <c r="K927" s="19"/>
    </row>
    <row r="928" ht="15.75" customHeight="1">
      <c r="A928" s="18">
        <v>924.0</v>
      </c>
      <c r="B928" s="19" t="s">
        <v>958</v>
      </c>
      <c r="C928" s="19" t="s">
        <v>2458</v>
      </c>
      <c r="D928" s="19" t="s">
        <v>2465</v>
      </c>
      <c r="E928" s="53" t="s">
        <v>42</v>
      </c>
      <c r="F928" s="31" t="s">
        <v>34</v>
      </c>
      <c r="G928" s="37" t="s">
        <v>49</v>
      </c>
      <c r="H928" s="39" t="s">
        <v>2466</v>
      </c>
      <c r="I928" s="19"/>
      <c r="J928" s="19" t="str">
        <f t="array" ref="J928">IF($I928="","",IFERROR(INDEX(Legend!$C$41:$C$45,MATCH($I928,Legend!$B$41:$B$45,0)),""))</f>
        <v/>
      </c>
      <c r="K928" s="19"/>
    </row>
    <row r="929" ht="15.75" customHeight="1">
      <c r="A929" s="18">
        <v>925.0</v>
      </c>
      <c r="B929" s="19" t="s">
        <v>958</v>
      </c>
      <c r="C929" s="19" t="s">
        <v>2458</v>
      </c>
      <c r="D929" s="19" t="s">
        <v>2467</v>
      </c>
      <c r="E929" s="53" t="s">
        <v>42</v>
      </c>
      <c r="F929" s="31" t="s">
        <v>34</v>
      </c>
      <c r="G929" s="37" t="s">
        <v>49</v>
      </c>
      <c r="H929" s="39" t="s">
        <v>2468</v>
      </c>
      <c r="I929" s="19"/>
      <c r="J929" s="19" t="str">
        <f t="array" ref="J929">IF($I929="","",IFERROR(INDEX(Legend!$C$41:$C$45,MATCH($I929,Legend!$B$41:$B$45,0)),""))</f>
        <v/>
      </c>
      <c r="K929" s="19"/>
    </row>
    <row r="930" ht="15.75" customHeight="1">
      <c r="A930" s="18">
        <v>926.0</v>
      </c>
      <c r="B930" s="19" t="s">
        <v>958</v>
      </c>
      <c r="C930" s="19" t="s">
        <v>2458</v>
      </c>
      <c r="D930" s="19" t="s">
        <v>2469</v>
      </c>
      <c r="E930" s="53" t="s">
        <v>42</v>
      </c>
      <c r="F930" s="48" t="s">
        <v>77</v>
      </c>
      <c r="G930" s="37" t="s">
        <v>49</v>
      </c>
      <c r="H930" s="39" t="s">
        <v>2470</v>
      </c>
      <c r="I930" s="19"/>
      <c r="J930" s="19" t="str">
        <f t="array" ref="J930">IF($I930="","",IFERROR(INDEX(Legend!$C$41:$C$45,MATCH($I930,Legend!$B$41:$B$45,0)),""))</f>
        <v/>
      </c>
      <c r="K930" s="19"/>
    </row>
    <row r="931" ht="15.75" customHeight="1">
      <c r="A931" s="18">
        <v>927.0</v>
      </c>
      <c r="B931" s="19" t="s">
        <v>958</v>
      </c>
      <c r="C931" s="19" t="s">
        <v>2458</v>
      </c>
      <c r="D931" s="19" t="s">
        <v>2471</v>
      </c>
      <c r="E931" s="53" t="s">
        <v>42</v>
      </c>
      <c r="F931" s="31" t="s">
        <v>34</v>
      </c>
      <c r="G931" s="46" t="s">
        <v>50</v>
      </c>
      <c r="H931" s="39"/>
      <c r="I931" s="19"/>
      <c r="J931" s="19" t="str">
        <f t="array" ref="J931">IF($I931="","",IFERROR(INDEX(Legend!$C$41:$C$45,MATCH($I931,Legend!$B$41:$B$45,0)),""))</f>
        <v/>
      </c>
      <c r="K931" s="19"/>
    </row>
    <row r="932" ht="15.75" customHeight="1">
      <c r="A932" s="18">
        <v>928.0</v>
      </c>
      <c r="B932" s="19" t="s">
        <v>958</v>
      </c>
      <c r="C932" s="19" t="s">
        <v>2458</v>
      </c>
      <c r="D932" s="19" t="s">
        <v>1507</v>
      </c>
      <c r="E932" s="53" t="s">
        <v>42</v>
      </c>
      <c r="F932" s="31" t="s">
        <v>34</v>
      </c>
      <c r="G932" s="46" t="s">
        <v>50</v>
      </c>
      <c r="H932" s="39"/>
      <c r="I932" s="19"/>
      <c r="J932" s="19" t="str">
        <f t="array" ref="J932">IF($I932="","",IFERROR(INDEX(Legend!$C$41:$C$45,MATCH($I932,Legend!$B$41:$B$45,0)),""))</f>
        <v/>
      </c>
      <c r="K932" s="19"/>
    </row>
    <row r="933" ht="15.75" customHeight="1">
      <c r="A933" s="18">
        <v>929.0</v>
      </c>
      <c r="B933" s="19" t="s">
        <v>958</v>
      </c>
      <c r="C933" s="19" t="s">
        <v>2458</v>
      </c>
      <c r="D933" s="19" t="s">
        <v>2472</v>
      </c>
      <c r="E933" s="53" t="s">
        <v>42</v>
      </c>
      <c r="F933" s="31" t="s">
        <v>34</v>
      </c>
      <c r="G933" s="46" t="s">
        <v>50</v>
      </c>
      <c r="H933" s="39"/>
      <c r="I933" s="19"/>
      <c r="J933" s="19" t="str">
        <f t="array" ref="J933">IF($I933="","",IFERROR(INDEX(Legend!$C$41:$C$45,MATCH($I933,Legend!$B$41:$B$45,0)),""))</f>
        <v/>
      </c>
      <c r="K933" s="19"/>
    </row>
    <row r="934" ht="15.75" customHeight="1">
      <c r="A934" s="18">
        <v>930.0</v>
      </c>
      <c r="B934" s="19" t="s">
        <v>958</v>
      </c>
      <c r="C934" s="19" t="s">
        <v>2458</v>
      </c>
      <c r="D934" s="19" t="s">
        <v>2473</v>
      </c>
      <c r="E934" s="53" t="s">
        <v>42</v>
      </c>
      <c r="F934" s="48" t="s">
        <v>77</v>
      </c>
      <c r="G934" s="37" t="s">
        <v>49</v>
      </c>
      <c r="H934" s="39" t="s">
        <v>2474</v>
      </c>
      <c r="I934" s="19"/>
      <c r="J934" s="19" t="str">
        <f t="array" ref="J934">IF($I934="","",IFERROR(INDEX(Legend!$C$41:$C$45,MATCH($I934,Legend!$B$41:$B$45,0)),""))</f>
        <v/>
      </c>
      <c r="K934" s="19"/>
    </row>
    <row r="935" ht="15.75" customHeight="1">
      <c r="A935" s="18">
        <v>931.0</v>
      </c>
      <c r="B935" s="19" t="s">
        <v>958</v>
      </c>
      <c r="C935" s="19" t="s">
        <v>2458</v>
      </c>
      <c r="D935" s="19" t="s">
        <v>2475</v>
      </c>
      <c r="E935" s="53" t="s">
        <v>42</v>
      </c>
      <c r="F935" s="31" t="s">
        <v>34</v>
      </c>
      <c r="G935" s="46" t="s">
        <v>50</v>
      </c>
      <c r="H935" s="39"/>
      <c r="I935" s="19"/>
      <c r="J935" s="19" t="str">
        <f t="array" ref="J935">IF($I935="","",IFERROR(INDEX(Legend!$C$41:$C$45,MATCH($I935,Legend!$B$41:$B$45,0)),""))</f>
        <v/>
      </c>
      <c r="K935" s="19"/>
    </row>
    <row r="936" ht="15.75" customHeight="1">
      <c r="A936" s="18">
        <v>932.0</v>
      </c>
      <c r="B936" s="19" t="s">
        <v>958</v>
      </c>
      <c r="C936" s="19" t="s">
        <v>2458</v>
      </c>
      <c r="D936" s="19" t="s">
        <v>2476</v>
      </c>
      <c r="E936" s="53" t="s">
        <v>42</v>
      </c>
      <c r="F936" s="48" t="s">
        <v>77</v>
      </c>
      <c r="G936" s="46" t="s">
        <v>50</v>
      </c>
      <c r="H936" s="39" t="s">
        <v>2477</v>
      </c>
      <c r="I936" s="19"/>
      <c r="J936" s="19" t="str">
        <f t="array" ref="J936">IF($I936="","",IFERROR(INDEX(Legend!$C$41:$C$45,MATCH($I936,Legend!$B$41:$B$45,0)),""))</f>
        <v/>
      </c>
      <c r="K936" s="19"/>
    </row>
    <row r="937" ht="15.75" customHeight="1">
      <c r="A937" s="18">
        <v>933.0</v>
      </c>
      <c r="B937" s="19" t="s">
        <v>958</v>
      </c>
      <c r="C937" s="19" t="s">
        <v>2458</v>
      </c>
      <c r="D937" s="19" t="s">
        <v>2478</v>
      </c>
      <c r="E937" s="53" t="s">
        <v>42</v>
      </c>
      <c r="F937" s="31" t="s">
        <v>34</v>
      </c>
      <c r="G937" s="46" t="s">
        <v>50</v>
      </c>
      <c r="H937" s="39"/>
      <c r="I937" s="19"/>
      <c r="J937" s="19" t="str">
        <f t="array" ref="J937">IF($I937="","",IFERROR(INDEX(Legend!$C$41:$C$45,MATCH($I937,Legend!$B$41:$B$45,0)),""))</f>
        <v/>
      </c>
      <c r="K937" s="19"/>
    </row>
    <row r="938" ht="15.75" customHeight="1">
      <c r="A938" s="18">
        <v>934.0</v>
      </c>
      <c r="B938" s="19" t="s">
        <v>958</v>
      </c>
      <c r="C938" s="19" t="s">
        <v>2458</v>
      </c>
      <c r="D938" s="19" t="s">
        <v>2479</v>
      </c>
      <c r="E938" s="53" t="s">
        <v>42</v>
      </c>
      <c r="F938" s="31" t="s">
        <v>34</v>
      </c>
      <c r="G938" s="46" t="s">
        <v>50</v>
      </c>
      <c r="H938" s="39" t="s">
        <v>2480</v>
      </c>
      <c r="I938" s="19"/>
      <c r="J938" s="19" t="str">
        <f t="array" ref="J938">IF($I938="","",IFERROR(INDEX(Legend!$C$41:$C$45,MATCH($I938,Legend!$B$41:$B$45,0)),""))</f>
        <v/>
      </c>
      <c r="K938" s="19"/>
    </row>
    <row r="939" ht="15.75" customHeight="1">
      <c r="A939" s="18">
        <v>935.0</v>
      </c>
      <c r="B939" s="19" t="s">
        <v>958</v>
      </c>
      <c r="C939" s="19" t="s">
        <v>2458</v>
      </c>
      <c r="D939" s="19" t="s">
        <v>2481</v>
      </c>
      <c r="E939" s="53" t="s">
        <v>42</v>
      </c>
      <c r="F939" s="54" t="s">
        <v>46</v>
      </c>
      <c r="G939" s="46" t="s">
        <v>50</v>
      </c>
      <c r="H939" s="39" t="s">
        <v>2482</v>
      </c>
      <c r="I939" s="19"/>
      <c r="J939" s="19" t="str">
        <f t="array" ref="J939">IF($I939="","",IFERROR(INDEX(Legend!$C$41:$C$45,MATCH($I939,Legend!$B$41:$B$45,0)),""))</f>
        <v/>
      </c>
      <c r="K939" s="19"/>
    </row>
    <row r="940" ht="15.75" customHeight="1">
      <c r="A940" s="18">
        <v>936.0</v>
      </c>
      <c r="B940" s="19" t="s">
        <v>958</v>
      </c>
      <c r="C940" s="19" t="s">
        <v>2458</v>
      </c>
      <c r="D940" s="19" t="s">
        <v>2483</v>
      </c>
      <c r="E940" s="53" t="s">
        <v>42</v>
      </c>
      <c r="F940" s="31" t="s">
        <v>34</v>
      </c>
      <c r="G940" s="37" t="s">
        <v>49</v>
      </c>
      <c r="H940" s="39" t="s">
        <v>2484</v>
      </c>
      <c r="I940" s="19"/>
      <c r="J940" s="19" t="str">
        <f t="array" ref="J940">IF($I940="","",IFERROR(INDEX(Legend!$C$41:$C$45,MATCH($I940,Legend!$B$41:$B$45,0)),""))</f>
        <v/>
      </c>
      <c r="K940" s="19"/>
    </row>
    <row r="941" ht="15.75" customHeight="1">
      <c r="A941" s="18">
        <v>937.0</v>
      </c>
      <c r="B941" s="19" t="s">
        <v>958</v>
      </c>
      <c r="C941" s="19" t="s">
        <v>2458</v>
      </c>
      <c r="D941" s="19" t="s">
        <v>2485</v>
      </c>
      <c r="E941" s="53" t="s">
        <v>42</v>
      </c>
      <c r="F941" s="54" t="s">
        <v>46</v>
      </c>
      <c r="G941" s="61" t="s">
        <v>47</v>
      </c>
      <c r="H941" s="39"/>
      <c r="I941" s="19"/>
      <c r="J941" s="19" t="str">
        <f t="array" ref="J941">IF($I941="","",IFERROR(INDEX(Legend!$C$41:$C$45,MATCH($I941,Legend!$B$41:$B$45,0)),""))</f>
        <v/>
      </c>
      <c r="K941" s="19"/>
    </row>
    <row r="942" ht="15.75" customHeight="1">
      <c r="A942" s="18">
        <v>938.0</v>
      </c>
      <c r="B942" s="19" t="s">
        <v>958</v>
      </c>
      <c r="C942" s="19" t="s">
        <v>2486</v>
      </c>
      <c r="D942" s="19" t="s">
        <v>2487</v>
      </c>
      <c r="E942" s="20" t="s">
        <v>33</v>
      </c>
      <c r="F942" s="31" t="s">
        <v>34</v>
      </c>
      <c r="G942" s="37" t="s">
        <v>49</v>
      </c>
      <c r="H942" s="39"/>
      <c r="I942" s="19"/>
      <c r="J942" s="19" t="str">
        <f t="array" ref="J942">IF($I942="","",IFERROR(INDEX(Legend!$C$41:$C$45,MATCH($I942,Legend!$B$41:$B$45,0)),""))</f>
        <v/>
      </c>
      <c r="K942" s="19"/>
    </row>
    <row r="943" ht="15.75" customHeight="1">
      <c r="A943" s="18">
        <v>939.0</v>
      </c>
      <c r="B943" s="19" t="s">
        <v>958</v>
      </c>
      <c r="C943" s="19" t="s">
        <v>2486</v>
      </c>
      <c r="D943" s="19" t="s">
        <v>2488</v>
      </c>
      <c r="E943" s="53" t="s">
        <v>42</v>
      </c>
      <c r="F943" s="31" t="s">
        <v>34</v>
      </c>
      <c r="G943" s="37" t="s">
        <v>49</v>
      </c>
      <c r="H943" s="39"/>
      <c r="I943" s="19"/>
      <c r="J943" s="19" t="str">
        <f t="array" ref="J943">IF($I943="","",IFERROR(INDEX(Legend!$C$41:$C$45,MATCH($I943,Legend!$B$41:$B$45,0)),""))</f>
        <v/>
      </c>
      <c r="K943" s="19"/>
    </row>
    <row r="944" ht="15.75" customHeight="1">
      <c r="A944" s="18">
        <v>940.0</v>
      </c>
      <c r="B944" s="19" t="s">
        <v>958</v>
      </c>
      <c r="C944" s="19" t="s">
        <v>2486</v>
      </c>
      <c r="D944" s="19" t="s">
        <v>2489</v>
      </c>
      <c r="E944" s="20" t="s">
        <v>33</v>
      </c>
      <c r="F944" s="31" t="s">
        <v>34</v>
      </c>
      <c r="G944" s="37" t="s">
        <v>49</v>
      </c>
      <c r="H944" s="39"/>
      <c r="I944" s="19"/>
      <c r="J944" s="19" t="str">
        <f t="array" ref="J944">IF($I944="","",IFERROR(INDEX(Legend!$C$41:$C$45,MATCH($I944,Legend!$B$41:$B$45,0)),""))</f>
        <v/>
      </c>
      <c r="K944" s="19"/>
    </row>
    <row r="945" ht="15.75" customHeight="1">
      <c r="A945" s="18">
        <v>941.0</v>
      </c>
      <c r="B945" s="19" t="s">
        <v>958</v>
      </c>
      <c r="C945" s="19" t="s">
        <v>2486</v>
      </c>
      <c r="D945" s="19" t="s">
        <v>2490</v>
      </c>
      <c r="E945" s="53" t="s">
        <v>42</v>
      </c>
      <c r="F945" s="31" t="s">
        <v>34</v>
      </c>
      <c r="G945" s="37" t="s">
        <v>49</v>
      </c>
      <c r="H945" s="39"/>
      <c r="I945" s="19"/>
      <c r="J945" s="19" t="str">
        <f t="array" ref="J945">IF($I945="","",IFERROR(INDEX(Legend!$C$41:$C$45,MATCH($I945,Legend!$B$41:$B$45,0)),""))</f>
        <v/>
      </c>
      <c r="K945" s="19"/>
    </row>
    <row r="946" ht="15.75" customHeight="1">
      <c r="A946" s="18">
        <v>942.0</v>
      </c>
      <c r="B946" s="19" t="s">
        <v>958</v>
      </c>
      <c r="C946" s="19" t="s">
        <v>2486</v>
      </c>
      <c r="D946" s="19" t="s">
        <v>2491</v>
      </c>
      <c r="E946" s="53" t="s">
        <v>42</v>
      </c>
      <c r="F946" s="31" t="s">
        <v>34</v>
      </c>
      <c r="G946" s="37" t="s">
        <v>49</v>
      </c>
      <c r="H946" s="39"/>
      <c r="I946" s="19"/>
      <c r="J946" s="19" t="str">
        <f t="array" ref="J946">IF($I946="","",IFERROR(INDEX(Legend!$C$41:$C$45,MATCH($I946,Legend!$B$41:$B$45,0)),""))</f>
        <v/>
      </c>
      <c r="K946" s="19"/>
    </row>
    <row r="947" ht="15.75" customHeight="1">
      <c r="A947" s="18">
        <v>943.0</v>
      </c>
      <c r="B947" s="19" t="s">
        <v>958</v>
      </c>
      <c r="C947" s="19" t="s">
        <v>2486</v>
      </c>
      <c r="D947" s="19" t="s">
        <v>2492</v>
      </c>
      <c r="E947" s="53" t="s">
        <v>42</v>
      </c>
      <c r="F947" s="48" t="s">
        <v>77</v>
      </c>
      <c r="G947" s="46" t="s">
        <v>50</v>
      </c>
      <c r="H947" s="39" t="s">
        <v>2493</v>
      </c>
      <c r="I947" s="19"/>
      <c r="J947" s="19" t="str">
        <f t="array" ref="J947">IF($I947="","",IFERROR(INDEX(Legend!$C$41:$C$45,MATCH($I947,Legend!$B$41:$B$45,0)),""))</f>
        <v/>
      </c>
      <c r="K947" s="19"/>
    </row>
    <row r="948" ht="15.75" customHeight="1">
      <c r="A948" s="18">
        <v>944.0</v>
      </c>
      <c r="B948" s="19" t="s">
        <v>958</v>
      </c>
      <c r="C948" s="19" t="s">
        <v>2486</v>
      </c>
      <c r="D948" s="19" t="s">
        <v>2494</v>
      </c>
      <c r="E948" s="53" t="s">
        <v>42</v>
      </c>
      <c r="F948" s="31" t="s">
        <v>34</v>
      </c>
      <c r="G948" s="46" t="s">
        <v>50</v>
      </c>
      <c r="H948" s="39"/>
      <c r="I948" s="19"/>
      <c r="J948" s="19" t="str">
        <f t="array" ref="J948">IF($I948="","",IFERROR(INDEX(Legend!$C$41:$C$45,MATCH($I948,Legend!$B$41:$B$45,0)),""))</f>
        <v/>
      </c>
      <c r="K948" s="19"/>
    </row>
    <row r="949" ht="15.75" customHeight="1">
      <c r="A949" s="18">
        <v>945.0</v>
      </c>
      <c r="B949" s="19" t="s">
        <v>958</v>
      </c>
      <c r="C949" s="19" t="s">
        <v>2486</v>
      </c>
      <c r="D949" s="19" t="s">
        <v>2495</v>
      </c>
      <c r="E949" s="53" t="s">
        <v>42</v>
      </c>
      <c r="F949" s="48" t="s">
        <v>77</v>
      </c>
      <c r="G949" s="37" t="s">
        <v>49</v>
      </c>
      <c r="H949" s="39"/>
      <c r="I949" s="19"/>
      <c r="J949" s="19" t="str">
        <f t="array" ref="J949">IF($I949="","",IFERROR(INDEX(Legend!$C$41:$C$45,MATCH($I949,Legend!$B$41:$B$45,0)),""))</f>
        <v/>
      </c>
      <c r="K949" s="19"/>
    </row>
    <row r="950" ht="15.75" customHeight="1">
      <c r="A950" s="18">
        <v>946.0</v>
      </c>
      <c r="B950" s="19" t="s">
        <v>958</v>
      </c>
      <c r="C950" s="19" t="s">
        <v>2486</v>
      </c>
      <c r="D950" s="19" t="s">
        <v>2496</v>
      </c>
      <c r="E950" s="53" t="s">
        <v>42</v>
      </c>
      <c r="F950" s="31" t="s">
        <v>34</v>
      </c>
      <c r="G950" s="37" t="s">
        <v>49</v>
      </c>
      <c r="H950" s="39"/>
      <c r="I950" s="19"/>
      <c r="J950" s="19" t="str">
        <f t="array" ref="J950">IF($I950="","",IFERROR(INDEX(Legend!$C$41:$C$45,MATCH($I950,Legend!$B$41:$B$45,0)),""))</f>
        <v/>
      </c>
      <c r="K950" s="19"/>
    </row>
    <row r="951" ht="15.75" customHeight="1">
      <c r="A951" s="18">
        <v>947.0</v>
      </c>
      <c r="B951" s="19" t="s">
        <v>958</v>
      </c>
      <c r="C951" s="19" t="s">
        <v>2497</v>
      </c>
      <c r="D951" s="19" t="s">
        <v>2498</v>
      </c>
      <c r="E951" s="53" t="s">
        <v>42</v>
      </c>
      <c r="F951" s="48" t="s">
        <v>77</v>
      </c>
      <c r="G951" s="37" t="s">
        <v>49</v>
      </c>
      <c r="H951" s="39" t="s">
        <v>2499</v>
      </c>
      <c r="I951" s="19"/>
      <c r="J951" s="19" t="str">
        <f t="array" ref="J951">IF($I951="","",IFERROR(INDEX(Legend!$C$41:$C$45,MATCH($I951,Legend!$B$41:$B$45,0)),""))</f>
        <v/>
      </c>
      <c r="K951" s="19"/>
    </row>
    <row r="952" ht="15.75" customHeight="1">
      <c r="A952" s="18">
        <v>948.0</v>
      </c>
      <c r="B952" s="19" t="s">
        <v>958</v>
      </c>
      <c r="C952" s="19" t="s">
        <v>2497</v>
      </c>
      <c r="D952" s="19" t="s">
        <v>2500</v>
      </c>
      <c r="E952" s="53" t="s">
        <v>42</v>
      </c>
      <c r="F952" s="48" t="s">
        <v>77</v>
      </c>
      <c r="G952" s="37" t="s">
        <v>49</v>
      </c>
      <c r="H952" s="39" t="s">
        <v>2501</v>
      </c>
      <c r="I952" s="19"/>
      <c r="J952" s="19" t="str">
        <f t="array" ref="J952">IF($I952="","",IFERROR(INDEX(Legend!$C$41:$C$45,MATCH($I952,Legend!$B$41:$B$45,0)),""))</f>
        <v/>
      </c>
      <c r="K952" s="19"/>
    </row>
    <row r="953" ht="15.75" customHeight="1">
      <c r="A953" s="18">
        <v>949.0</v>
      </c>
      <c r="B953" s="19" t="s">
        <v>958</v>
      </c>
      <c r="C953" s="19" t="s">
        <v>2497</v>
      </c>
      <c r="D953" s="19" t="s">
        <v>2502</v>
      </c>
      <c r="E953" s="53" t="s">
        <v>42</v>
      </c>
      <c r="F953" s="31" t="s">
        <v>34</v>
      </c>
      <c r="G953" s="46" t="s">
        <v>50</v>
      </c>
      <c r="H953" s="39"/>
      <c r="I953" s="19"/>
      <c r="J953" s="19" t="str">
        <f t="array" ref="J953">IF($I953="","",IFERROR(INDEX(Legend!$C$41:$C$45,MATCH($I953,Legend!$B$41:$B$45,0)),""))</f>
        <v/>
      </c>
      <c r="K953" s="19"/>
    </row>
    <row r="954" ht="15.75" customHeight="1">
      <c r="A954" s="18">
        <v>950.0</v>
      </c>
      <c r="B954" s="19" t="s">
        <v>958</v>
      </c>
      <c r="C954" s="19" t="s">
        <v>2497</v>
      </c>
      <c r="D954" s="19" t="s">
        <v>2503</v>
      </c>
      <c r="E954" s="53" t="s">
        <v>42</v>
      </c>
      <c r="F954" s="31" t="s">
        <v>34</v>
      </c>
      <c r="G954" s="37" t="s">
        <v>49</v>
      </c>
      <c r="H954" s="39"/>
      <c r="I954" s="19"/>
      <c r="J954" s="19" t="str">
        <f t="array" ref="J954">IF($I954="","",IFERROR(INDEX(Legend!$C$41:$C$45,MATCH($I954,Legend!$B$41:$B$45,0)),""))</f>
        <v/>
      </c>
      <c r="K954" s="19"/>
    </row>
    <row r="955" ht="15.75" customHeight="1">
      <c r="A955" s="18">
        <v>951.0</v>
      </c>
      <c r="B955" s="19" t="s">
        <v>958</v>
      </c>
      <c r="C955" s="19" t="s">
        <v>2497</v>
      </c>
      <c r="D955" s="19" t="s">
        <v>2504</v>
      </c>
      <c r="E955" s="53" t="s">
        <v>42</v>
      </c>
      <c r="F955" s="31" t="s">
        <v>34</v>
      </c>
      <c r="G955" s="37" t="s">
        <v>49</v>
      </c>
      <c r="H955" s="39"/>
      <c r="I955" s="19"/>
      <c r="J955" s="19" t="str">
        <f t="array" ref="J955">IF($I955="","",IFERROR(INDEX(Legend!$C$41:$C$45,MATCH($I955,Legend!$B$41:$B$45,0)),""))</f>
        <v/>
      </c>
      <c r="K955" s="19"/>
    </row>
    <row r="956" ht="15.75" customHeight="1">
      <c r="A956" s="18">
        <v>952.0</v>
      </c>
      <c r="B956" s="19" t="s">
        <v>958</v>
      </c>
      <c r="C956" s="19" t="s">
        <v>2497</v>
      </c>
      <c r="D956" s="19" t="s">
        <v>2505</v>
      </c>
      <c r="E956" s="53" t="s">
        <v>42</v>
      </c>
      <c r="F956" s="31" t="s">
        <v>34</v>
      </c>
      <c r="G956" s="46" t="s">
        <v>50</v>
      </c>
      <c r="H956" s="39"/>
      <c r="I956" s="19"/>
      <c r="J956" s="19" t="str">
        <f t="array" ref="J956">IF($I956="","",IFERROR(INDEX(Legend!$C$41:$C$45,MATCH($I956,Legend!$B$41:$B$45,0)),""))</f>
        <v/>
      </c>
      <c r="K956" s="19"/>
    </row>
    <row r="957" ht="15.75" customHeight="1">
      <c r="A957" s="18">
        <v>953.0</v>
      </c>
      <c r="B957" s="19" t="s">
        <v>958</v>
      </c>
      <c r="C957" s="19" t="s">
        <v>2506</v>
      </c>
      <c r="D957" s="19" t="s">
        <v>2507</v>
      </c>
      <c r="E957" s="53" t="s">
        <v>42</v>
      </c>
      <c r="F957" s="31" t="s">
        <v>34</v>
      </c>
      <c r="G957" s="37" t="s">
        <v>49</v>
      </c>
      <c r="H957" s="39" t="s">
        <v>2508</v>
      </c>
      <c r="I957" s="19"/>
      <c r="J957" s="19" t="str">
        <f t="array" ref="J957">IF($I957="","",IFERROR(INDEX(Legend!$C$41:$C$45,MATCH($I957,Legend!$B$41:$B$45,0)),""))</f>
        <v/>
      </c>
      <c r="K957" s="19"/>
    </row>
    <row r="958" ht="15.75" customHeight="1">
      <c r="A958" s="18">
        <v>954.0</v>
      </c>
      <c r="B958" s="19" t="s">
        <v>958</v>
      </c>
      <c r="C958" s="19" t="s">
        <v>2506</v>
      </c>
      <c r="D958" s="19" t="s">
        <v>2509</v>
      </c>
      <c r="E958" s="53" t="s">
        <v>42</v>
      </c>
      <c r="F958" s="31" t="s">
        <v>34</v>
      </c>
      <c r="G958" s="37" t="s">
        <v>49</v>
      </c>
      <c r="H958" s="39" t="s">
        <v>2510</v>
      </c>
      <c r="I958" s="19"/>
      <c r="J958" s="19" t="str">
        <f t="array" ref="J958">IF($I958="","",IFERROR(INDEX(Legend!$C$41:$C$45,MATCH($I958,Legend!$B$41:$B$45,0)),""))</f>
        <v/>
      </c>
      <c r="K958" s="19"/>
    </row>
    <row r="959" ht="15.75" customHeight="1">
      <c r="A959" s="18">
        <v>955.0</v>
      </c>
      <c r="B959" s="19" t="s">
        <v>958</v>
      </c>
      <c r="C959" s="19" t="s">
        <v>2506</v>
      </c>
      <c r="D959" s="19" t="s">
        <v>2511</v>
      </c>
      <c r="E959" s="53" t="s">
        <v>42</v>
      </c>
      <c r="F959" s="31" t="s">
        <v>34</v>
      </c>
      <c r="G959" s="37" t="s">
        <v>49</v>
      </c>
      <c r="H959" s="39"/>
      <c r="I959" s="19"/>
      <c r="J959" s="19" t="str">
        <f t="array" ref="J959">IF($I959="","",IFERROR(INDEX(Legend!$C$41:$C$45,MATCH($I959,Legend!$B$41:$B$45,0)),""))</f>
        <v/>
      </c>
      <c r="K959" s="19"/>
    </row>
    <row r="960" ht="15.75" customHeight="1">
      <c r="A960" s="18">
        <v>956.0</v>
      </c>
      <c r="B960" s="19" t="s">
        <v>958</v>
      </c>
      <c r="C960" s="19" t="s">
        <v>2506</v>
      </c>
      <c r="D960" s="19" t="s">
        <v>2512</v>
      </c>
      <c r="E960" s="53" t="s">
        <v>42</v>
      </c>
      <c r="F960" s="31" t="s">
        <v>34</v>
      </c>
      <c r="G960" s="46" t="s">
        <v>50</v>
      </c>
      <c r="H960" s="39"/>
      <c r="I960" s="19"/>
      <c r="J960" s="19" t="str">
        <f t="array" ref="J960">IF($I960="","",IFERROR(INDEX(Legend!$C$41:$C$45,MATCH($I960,Legend!$B$41:$B$45,0)),""))</f>
        <v/>
      </c>
      <c r="K960" s="19"/>
    </row>
    <row r="961" ht="15.75" customHeight="1">
      <c r="A961" s="18">
        <v>957.0</v>
      </c>
      <c r="B961" s="19" t="s">
        <v>958</v>
      </c>
      <c r="C961" s="19" t="s">
        <v>2506</v>
      </c>
      <c r="D961" s="19" t="s">
        <v>2320</v>
      </c>
      <c r="E961" s="53" t="s">
        <v>42</v>
      </c>
      <c r="F961" s="31" t="s">
        <v>34</v>
      </c>
      <c r="G961" s="46" t="s">
        <v>50</v>
      </c>
      <c r="H961" s="39"/>
      <c r="I961" s="19"/>
      <c r="J961" s="19" t="str">
        <f t="array" ref="J961">IF($I961="","",IFERROR(INDEX(Legend!$C$41:$C$45,MATCH($I961,Legend!$B$41:$B$45,0)),""))</f>
        <v/>
      </c>
      <c r="K961" s="19"/>
    </row>
    <row r="962" ht="15.75" customHeight="1">
      <c r="A962" s="18">
        <v>958.0</v>
      </c>
      <c r="B962" s="19" t="s">
        <v>958</v>
      </c>
      <c r="C962" s="19" t="s">
        <v>2506</v>
      </c>
      <c r="D962" s="19" t="s">
        <v>2513</v>
      </c>
      <c r="E962" s="53" t="s">
        <v>42</v>
      </c>
      <c r="F962" s="48" t="s">
        <v>77</v>
      </c>
      <c r="G962" s="37" t="s">
        <v>49</v>
      </c>
      <c r="H962" s="39" t="s">
        <v>2514</v>
      </c>
      <c r="I962" s="19"/>
      <c r="J962" s="19" t="str">
        <f t="array" ref="J962">IF($I962="","",IFERROR(INDEX(Legend!$C$41:$C$45,MATCH($I962,Legend!$B$41:$B$45,0)),""))</f>
        <v/>
      </c>
      <c r="K962" s="19"/>
    </row>
    <row r="963" ht="15.75" customHeight="1">
      <c r="A963" s="18">
        <v>959.0</v>
      </c>
      <c r="B963" s="19" t="s">
        <v>958</v>
      </c>
      <c r="C963" s="19" t="s">
        <v>2506</v>
      </c>
      <c r="D963" s="19" t="s">
        <v>2515</v>
      </c>
      <c r="E963" s="53" t="s">
        <v>42</v>
      </c>
      <c r="F963" s="31" t="s">
        <v>34</v>
      </c>
      <c r="G963" s="46" t="s">
        <v>50</v>
      </c>
      <c r="H963" s="39"/>
      <c r="I963" s="19"/>
      <c r="J963" s="19" t="str">
        <f t="array" ref="J963">IF($I963="","",IFERROR(INDEX(Legend!$C$41:$C$45,MATCH($I963,Legend!$B$41:$B$45,0)),""))</f>
        <v/>
      </c>
      <c r="K963" s="19"/>
    </row>
    <row r="964" ht="15.75" customHeight="1">
      <c r="A964" s="18">
        <v>960.0</v>
      </c>
      <c r="B964" s="19" t="s">
        <v>958</v>
      </c>
      <c r="C964" s="19" t="s">
        <v>2506</v>
      </c>
      <c r="D964" s="19" t="s">
        <v>2516</v>
      </c>
      <c r="E964" s="53" t="s">
        <v>42</v>
      </c>
      <c r="F964" s="31" t="s">
        <v>34</v>
      </c>
      <c r="G964" s="46" t="s">
        <v>50</v>
      </c>
      <c r="H964" s="39"/>
      <c r="I964" s="19"/>
      <c r="J964" s="19" t="str">
        <f t="array" ref="J964">IF($I964="","",IFERROR(INDEX(Legend!$C$41:$C$45,MATCH($I964,Legend!$B$41:$B$45,0)),""))</f>
        <v/>
      </c>
      <c r="K964" s="19"/>
    </row>
    <row r="965" ht="15.75" customHeight="1">
      <c r="A965" s="18">
        <v>961.0</v>
      </c>
      <c r="B965" s="19" t="s">
        <v>958</v>
      </c>
      <c r="C965" s="19" t="s">
        <v>2506</v>
      </c>
      <c r="D965" s="19" t="s">
        <v>2329</v>
      </c>
      <c r="E965" s="53" t="s">
        <v>42</v>
      </c>
      <c r="F965" s="31" t="s">
        <v>34</v>
      </c>
      <c r="G965" s="46" t="s">
        <v>50</v>
      </c>
      <c r="H965" s="39"/>
      <c r="I965" s="19"/>
      <c r="J965" s="19" t="str">
        <f t="array" ref="J965">IF($I965="","",IFERROR(INDEX(Legend!$C$41:$C$45,MATCH($I965,Legend!$B$41:$B$45,0)),""))</f>
        <v/>
      </c>
      <c r="K965" s="19"/>
    </row>
    <row r="966" ht="15.75" customHeight="1">
      <c r="A966" s="18">
        <v>962.0</v>
      </c>
      <c r="B966" s="19" t="s">
        <v>958</v>
      </c>
      <c r="C966" s="19" t="s">
        <v>2506</v>
      </c>
      <c r="D966" s="19" t="s">
        <v>2517</v>
      </c>
      <c r="E966" s="53" t="s">
        <v>42</v>
      </c>
      <c r="F966" s="31" t="s">
        <v>34</v>
      </c>
      <c r="G966" s="46" t="s">
        <v>50</v>
      </c>
      <c r="H966" s="39"/>
      <c r="I966" s="19"/>
      <c r="J966" s="19" t="str">
        <f t="array" ref="J966">IF($I966="","",IFERROR(INDEX(Legend!$C$41:$C$45,MATCH($I966,Legend!$B$41:$B$45,0)),""))</f>
        <v/>
      </c>
      <c r="K966" s="19"/>
    </row>
    <row r="967" ht="15.75" customHeight="1">
      <c r="A967" s="18">
        <v>963.0</v>
      </c>
      <c r="B967" s="19" t="s">
        <v>958</v>
      </c>
      <c r="C967" s="19" t="s">
        <v>2506</v>
      </c>
      <c r="D967" s="19" t="s">
        <v>2518</v>
      </c>
      <c r="E967" s="53" t="s">
        <v>42</v>
      </c>
      <c r="F967" s="54" t="s">
        <v>46</v>
      </c>
      <c r="G967" s="61" t="s">
        <v>47</v>
      </c>
      <c r="H967" s="39"/>
      <c r="I967" s="19"/>
      <c r="J967" s="19" t="str">
        <f t="array" ref="J967">IF($I967="","",IFERROR(INDEX(Legend!$C$41:$C$45,MATCH($I967,Legend!$B$41:$B$45,0)),""))</f>
        <v/>
      </c>
      <c r="K967" s="19"/>
    </row>
    <row r="968" ht="15.75" customHeight="1">
      <c r="A968" s="18">
        <v>964.0</v>
      </c>
      <c r="B968" s="19" t="s">
        <v>958</v>
      </c>
      <c r="C968" s="19" t="s">
        <v>2506</v>
      </c>
      <c r="D968" s="19" t="s">
        <v>2519</v>
      </c>
      <c r="E968" s="53" t="s">
        <v>42</v>
      </c>
      <c r="F968" s="31" t="s">
        <v>34</v>
      </c>
      <c r="G968" s="46" t="s">
        <v>50</v>
      </c>
      <c r="H968" s="39"/>
      <c r="I968" s="19"/>
      <c r="J968" s="19" t="str">
        <f t="array" ref="J968">IF($I968="","",IFERROR(INDEX(Legend!$C$41:$C$45,MATCH($I968,Legend!$B$41:$B$45,0)),""))</f>
        <v/>
      </c>
      <c r="K968" s="19"/>
    </row>
    <row r="969" ht="15.75" customHeight="1">
      <c r="A969" s="18">
        <v>965.0</v>
      </c>
      <c r="B969" s="19" t="s">
        <v>958</v>
      </c>
      <c r="C969" s="19" t="s">
        <v>2506</v>
      </c>
      <c r="D969" s="19" t="s">
        <v>2520</v>
      </c>
      <c r="E969" s="53" t="s">
        <v>42</v>
      </c>
      <c r="F969" s="31" t="s">
        <v>34</v>
      </c>
      <c r="G969" s="46" t="s">
        <v>50</v>
      </c>
      <c r="H969" s="39"/>
      <c r="I969" s="19"/>
      <c r="J969" s="19" t="str">
        <f t="array" ref="J969">IF($I969="","",IFERROR(INDEX(Legend!$C$41:$C$45,MATCH($I969,Legend!$B$41:$B$45,0)),""))</f>
        <v/>
      </c>
      <c r="K969" s="19"/>
    </row>
    <row r="970" ht="15.75" customHeight="1">
      <c r="A970" s="18">
        <v>966.0</v>
      </c>
      <c r="B970" s="19" t="s">
        <v>958</v>
      </c>
      <c r="C970" s="19" t="s">
        <v>2521</v>
      </c>
      <c r="D970" s="19" t="s">
        <v>2522</v>
      </c>
      <c r="E970" s="53" t="s">
        <v>42</v>
      </c>
      <c r="F970" s="48" t="s">
        <v>77</v>
      </c>
      <c r="G970" s="37" t="s">
        <v>49</v>
      </c>
      <c r="H970" s="39"/>
      <c r="I970" s="19"/>
      <c r="J970" s="19" t="str">
        <f t="array" ref="J970">IF($I970="","",IFERROR(INDEX(Legend!$C$41:$C$45,MATCH($I970,Legend!$B$41:$B$45,0)),""))</f>
        <v/>
      </c>
      <c r="K970" s="19"/>
    </row>
    <row r="971" ht="15.75" customHeight="1">
      <c r="A971" s="18">
        <v>967.0</v>
      </c>
      <c r="B971" s="19" t="s">
        <v>958</v>
      </c>
      <c r="C971" s="19" t="s">
        <v>2521</v>
      </c>
      <c r="D971" s="19" t="s">
        <v>2523</v>
      </c>
      <c r="E971" s="53" t="s">
        <v>42</v>
      </c>
      <c r="F971" s="31" t="s">
        <v>34</v>
      </c>
      <c r="G971" s="37" t="s">
        <v>49</v>
      </c>
      <c r="H971" s="39"/>
      <c r="I971" s="19"/>
      <c r="J971" s="19" t="str">
        <f t="array" ref="J971">IF($I971="","",IFERROR(INDEX(Legend!$C$41:$C$45,MATCH($I971,Legend!$B$41:$B$45,0)),""))</f>
        <v/>
      </c>
      <c r="K971" s="19"/>
    </row>
    <row r="972" ht="15.75" customHeight="1">
      <c r="A972" s="18">
        <v>968.0</v>
      </c>
      <c r="B972" s="19" t="s">
        <v>958</v>
      </c>
      <c r="C972" s="19" t="s">
        <v>2521</v>
      </c>
      <c r="D972" s="19" t="s">
        <v>2524</v>
      </c>
      <c r="E972" s="53" t="s">
        <v>42</v>
      </c>
      <c r="F972" s="31" t="s">
        <v>34</v>
      </c>
      <c r="G972" s="37" t="s">
        <v>49</v>
      </c>
      <c r="H972" s="39" t="s">
        <v>2525</v>
      </c>
      <c r="I972" s="19"/>
      <c r="J972" s="19" t="str">
        <f t="array" ref="J972">IF($I972="","",IFERROR(INDEX(Legend!$C$41:$C$45,MATCH($I972,Legend!$B$41:$B$45,0)),""))</f>
        <v/>
      </c>
      <c r="K972" s="19"/>
    </row>
    <row r="973" ht="15.75" customHeight="1">
      <c r="A973" s="18">
        <v>969.0</v>
      </c>
      <c r="B973" s="19" t="s">
        <v>958</v>
      </c>
      <c r="C973" s="19" t="s">
        <v>2521</v>
      </c>
      <c r="D973" s="19" t="s">
        <v>2526</v>
      </c>
      <c r="E973" s="53" t="s">
        <v>42</v>
      </c>
      <c r="F973" s="31" t="s">
        <v>34</v>
      </c>
      <c r="G973" s="37" t="s">
        <v>49</v>
      </c>
      <c r="H973" s="39"/>
      <c r="I973" s="19"/>
      <c r="J973" s="19" t="str">
        <f t="array" ref="J973">IF($I973="","",IFERROR(INDEX(Legend!$C$41:$C$45,MATCH($I973,Legend!$B$41:$B$45,0)),""))</f>
        <v/>
      </c>
      <c r="K973" s="19"/>
    </row>
    <row r="974" ht="15.75" customHeight="1">
      <c r="A974" s="18">
        <v>970.0</v>
      </c>
      <c r="B974" s="19" t="s">
        <v>958</v>
      </c>
      <c r="C974" s="19" t="s">
        <v>2521</v>
      </c>
      <c r="D974" s="19" t="s">
        <v>2527</v>
      </c>
      <c r="E974" s="53" t="s">
        <v>42</v>
      </c>
      <c r="F974" s="31" t="s">
        <v>34</v>
      </c>
      <c r="G974" s="37" t="s">
        <v>49</v>
      </c>
      <c r="H974" s="39" t="s">
        <v>2528</v>
      </c>
      <c r="I974" s="19"/>
      <c r="J974" s="19" t="str">
        <f t="array" ref="J974">IF($I974="","",IFERROR(INDEX(Legend!$C$41:$C$45,MATCH($I974,Legend!$B$41:$B$45,0)),""))</f>
        <v/>
      </c>
      <c r="K974" s="19"/>
    </row>
    <row r="975" ht="15.75" customHeight="1">
      <c r="A975" s="18">
        <v>971.0</v>
      </c>
      <c r="B975" s="19" t="s">
        <v>958</v>
      </c>
      <c r="C975" s="19" t="s">
        <v>2521</v>
      </c>
      <c r="D975" s="19" t="s">
        <v>2529</v>
      </c>
      <c r="E975" s="53" t="s">
        <v>42</v>
      </c>
      <c r="F975" s="31" t="s">
        <v>34</v>
      </c>
      <c r="G975" s="37" t="s">
        <v>49</v>
      </c>
      <c r="H975" s="39"/>
      <c r="I975" s="19"/>
      <c r="J975" s="19" t="str">
        <f t="array" ref="J975">IF($I975="","",IFERROR(INDEX(Legend!$C$41:$C$45,MATCH($I975,Legend!$B$41:$B$45,0)),""))</f>
        <v/>
      </c>
      <c r="K975" s="19"/>
    </row>
    <row r="976" ht="15.75" customHeight="1">
      <c r="A976" s="18">
        <v>972.0</v>
      </c>
      <c r="B976" s="19" t="s">
        <v>958</v>
      </c>
      <c r="C976" s="19" t="s">
        <v>2521</v>
      </c>
      <c r="D976" s="19" t="s">
        <v>2530</v>
      </c>
      <c r="E976" s="53" t="s">
        <v>42</v>
      </c>
      <c r="F976" s="31" t="s">
        <v>34</v>
      </c>
      <c r="G976" s="37" t="s">
        <v>49</v>
      </c>
      <c r="H976" s="39" t="s">
        <v>2531</v>
      </c>
      <c r="I976" s="19"/>
      <c r="J976" s="19" t="str">
        <f t="array" ref="J976">IF($I976="","",IFERROR(INDEX(Legend!$C$41:$C$45,MATCH($I976,Legend!$B$41:$B$45,0)),""))</f>
        <v/>
      </c>
      <c r="K976" s="19"/>
    </row>
    <row r="977" ht="15.75" customHeight="1">
      <c r="A977" s="18">
        <v>973.0</v>
      </c>
      <c r="B977" s="19" t="s">
        <v>958</v>
      </c>
      <c r="C977" s="19" t="s">
        <v>2521</v>
      </c>
      <c r="D977" s="19" t="s">
        <v>2532</v>
      </c>
      <c r="E977" s="53" t="s">
        <v>42</v>
      </c>
      <c r="F977" s="31" t="s">
        <v>34</v>
      </c>
      <c r="G977" s="37" t="s">
        <v>49</v>
      </c>
      <c r="H977" s="39"/>
      <c r="I977" s="19"/>
      <c r="J977" s="19" t="str">
        <f t="array" ref="J977">IF($I977="","",IFERROR(INDEX(Legend!$C$41:$C$45,MATCH($I977,Legend!$B$41:$B$45,0)),""))</f>
        <v/>
      </c>
      <c r="K977" s="19"/>
    </row>
    <row r="978" ht="15.75" customHeight="1">
      <c r="A978" s="18">
        <v>974.0</v>
      </c>
      <c r="B978" s="19" t="s">
        <v>958</v>
      </c>
      <c r="C978" s="19" t="s">
        <v>2521</v>
      </c>
      <c r="D978" s="19" t="s">
        <v>2533</v>
      </c>
      <c r="E978" s="53" t="s">
        <v>42</v>
      </c>
      <c r="F978" s="31" t="s">
        <v>34</v>
      </c>
      <c r="G978" s="46" t="s">
        <v>50</v>
      </c>
      <c r="H978" s="39"/>
      <c r="I978" s="19"/>
      <c r="J978" s="19" t="str">
        <f t="array" ref="J978">IF($I978="","",IFERROR(INDEX(Legend!$C$41:$C$45,MATCH($I978,Legend!$B$41:$B$45,0)),""))</f>
        <v/>
      </c>
      <c r="K978" s="19"/>
    </row>
    <row r="979" ht="15.75" customHeight="1">
      <c r="A979" s="18">
        <v>975.0</v>
      </c>
      <c r="B979" s="19" t="s">
        <v>958</v>
      </c>
      <c r="C979" s="19" t="s">
        <v>2521</v>
      </c>
      <c r="D979" s="19" t="s">
        <v>2534</v>
      </c>
      <c r="E979" s="53" t="s">
        <v>42</v>
      </c>
      <c r="F979" s="31" t="s">
        <v>34</v>
      </c>
      <c r="G979" s="46" t="s">
        <v>50</v>
      </c>
      <c r="H979" s="39"/>
      <c r="I979" s="19"/>
      <c r="J979" s="19" t="str">
        <f t="array" ref="J979">IF($I979="","",IFERROR(INDEX(Legend!$C$41:$C$45,MATCH($I979,Legend!$B$41:$B$45,0)),""))</f>
        <v/>
      </c>
      <c r="K979" s="19"/>
    </row>
    <row r="980" ht="15.75" customHeight="1">
      <c r="A980" s="18">
        <v>976.0</v>
      </c>
      <c r="B980" s="19" t="s">
        <v>958</v>
      </c>
      <c r="C980" s="19" t="s">
        <v>2521</v>
      </c>
      <c r="D980" s="19" t="s">
        <v>2535</v>
      </c>
      <c r="E980" s="53" t="s">
        <v>42</v>
      </c>
      <c r="F980" s="31" t="s">
        <v>34</v>
      </c>
      <c r="G980" s="46" t="s">
        <v>50</v>
      </c>
      <c r="H980" s="39"/>
      <c r="I980" s="19"/>
      <c r="J980" s="19" t="str">
        <f t="array" ref="J980">IF($I980="","",IFERROR(INDEX(Legend!$C$41:$C$45,MATCH($I980,Legend!$B$41:$B$45,0)),""))</f>
        <v/>
      </c>
      <c r="K980" s="19"/>
    </row>
    <row r="981" ht="15.75" customHeight="1">
      <c r="A981" s="18">
        <v>977.0</v>
      </c>
      <c r="B981" s="19" t="s">
        <v>958</v>
      </c>
      <c r="C981" s="19" t="s">
        <v>2536</v>
      </c>
      <c r="D981" s="19" t="s">
        <v>2537</v>
      </c>
      <c r="E981" s="53" t="s">
        <v>42</v>
      </c>
      <c r="F981" s="31" t="s">
        <v>34</v>
      </c>
      <c r="G981" s="37" t="s">
        <v>49</v>
      </c>
      <c r="H981" s="39"/>
      <c r="I981" s="19"/>
      <c r="J981" s="19" t="str">
        <f t="array" ref="J981">IF($I981="","",IFERROR(INDEX(Legend!$C$41:$C$45,MATCH($I981,Legend!$B$41:$B$45,0)),""))</f>
        <v/>
      </c>
      <c r="K981" s="19"/>
    </row>
    <row r="982" ht="15.75" customHeight="1">
      <c r="A982" s="18">
        <v>978.0</v>
      </c>
      <c r="B982" s="19" t="s">
        <v>958</v>
      </c>
      <c r="C982" s="19" t="s">
        <v>2536</v>
      </c>
      <c r="D982" s="19" t="s">
        <v>2538</v>
      </c>
      <c r="E982" s="53" t="s">
        <v>42</v>
      </c>
      <c r="F982" s="48" t="s">
        <v>77</v>
      </c>
      <c r="G982" s="37" t="s">
        <v>49</v>
      </c>
      <c r="H982" s="39"/>
      <c r="I982" s="19"/>
      <c r="J982" s="19" t="str">
        <f t="array" ref="J982">IF($I982="","",IFERROR(INDEX(Legend!$C$41:$C$45,MATCH($I982,Legend!$B$41:$B$45,0)),""))</f>
        <v/>
      </c>
      <c r="K982" s="19"/>
    </row>
    <row r="983" ht="15.75" customHeight="1">
      <c r="A983" s="18">
        <v>979.0</v>
      </c>
      <c r="B983" s="19" t="s">
        <v>958</v>
      </c>
      <c r="C983" s="19" t="s">
        <v>2536</v>
      </c>
      <c r="D983" s="19" t="s">
        <v>2539</v>
      </c>
      <c r="E983" s="53" t="s">
        <v>42</v>
      </c>
      <c r="F983" s="31" t="s">
        <v>34</v>
      </c>
      <c r="G983" s="37" t="s">
        <v>49</v>
      </c>
      <c r="H983" s="39"/>
      <c r="I983" s="19"/>
      <c r="J983" s="19" t="str">
        <f t="array" ref="J983">IF($I983="","",IFERROR(INDEX(Legend!$C$41:$C$45,MATCH($I983,Legend!$B$41:$B$45,0)),""))</f>
        <v/>
      </c>
      <c r="K983" s="19"/>
    </row>
    <row r="984" ht="15.75" customHeight="1">
      <c r="A984" s="18">
        <v>980.0</v>
      </c>
      <c r="B984" s="19" t="s">
        <v>958</v>
      </c>
      <c r="C984" s="19" t="s">
        <v>2536</v>
      </c>
      <c r="D984" s="19" t="s">
        <v>2540</v>
      </c>
      <c r="E984" s="53" t="s">
        <v>42</v>
      </c>
      <c r="F984" s="31" t="s">
        <v>34</v>
      </c>
      <c r="G984" s="46" t="s">
        <v>50</v>
      </c>
      <c r="H984" s="39"/>
      <c r="I984" s="19"/>
      <c r="J984" s="19" t="str">
        <f t="array" ref="J984">IF($I984="","",IFERROR(INDEX(Legend!$C$41:$C$45,MATCH($I984,Legend!$B$41:$B$45,0)),""))</f>
        <v/>
      </c>
      <c r="K984" s="19"/>
    </row>
    <row r="985" ht="15.75" customHeight="1">
      <c r="A985" s="18">
        <v>981.0</v>
      </c>
      <c r="B985" s="19" t="s">
        <v>958</v>
      </c>
      <c r="C985" s="19" t="s">
        <v>2536</v>
      </c>
      <c r="D985" s="19" t="s">
        <v>2541</v>
      </c>
      <c r="E985" s="53" t="s">
        <v>42</v>
      </c>
      <c r="F985" s="31" t="s">
        <v>34</v>
      </c>
      <c r="G985" s="46" t="s">
        <v>50</v>
      </c>
      <c r="H985" s="39"/>
      <c r="I985" s="19"/>
      <c r="J985" s="19" t="str">
        <f t="array" ref="J985">IF($I985="","",IFERROR(INDEX(Legend!$C$41:$C$45,MATCH($I985,Legend!$B$41:$B$45,0)),""))</f>
        <v/>
      </c>
      <c r="K985" s="19"/>
    </row>
    <row r="986" ht="15.75" customHeight="1">
      <c r="A986" s="18">
        <v>982.0</v>
      </c>
      <c r="B986" s="19" t="s">
        <v>958</v>
      </c>
      <c r="C986" s="19" t="s">
        <v>2536</v>
      </c>
      <c r="D986" s="19" t="s">
        <v>2542</v>
      </c>
      <c r="E986" s="53" t="s">
        <v>42</v>
      </c>
      <c r="F986" s="31" t="s">
        <v>34</v>
      </c>
      <c r="G986" s="46" t="s">
        <v>50</v>
      </c>
      <c r="H986" s="39"/>
      <c r="I986" s="19"/>
      <c r="J986" s="19" t="str">
        <f t="array" ref="J986">IF($I986="","",IFERROR(INDEX(Legend!$C$41:$C$45,MATCH($I986,Legend!$B$41:$B$45,0)),""))</f>
        <v/>
      </c>
      <c r="K986" s="19"/>
    </row>
    <row r="987" ht="15.75" customHeight="1">
      <c r="A987" s="18">
        <v>983.0</v>
      </c>
      <c r="B987" s="19" t="s">
        <v>958</v>
      </c>
      <c r="C987" s="19" t="s">
        <v>2536</v>
      </c>
      <c r="D987" s="19" t="s">
        <v>1564</v>
      </c>
      <c r="E987" s="53" t="s">
        <v>42</v>
      </c>
      <c r="F987" s="31" t="s">
        <v>34</v>
      </c>
      <c r="G987" s="46" t="s">
        <v>50</v>
      </c>
      <c r="H987" s="39"/>
      <c r="I987" s="19"/>
      <c r="J987" s="19" t="str">
        <f t="array" ref="J987">IF($I987="","",IFERROR(INDEX(Legend!$C$41:$C$45,MATCH($I987,Legend!$B$41:$B$45,0)),""))</f>
        <v/>
      </c>
      <c r="K987" s="19"/>
    </row>
    <row r="988" ht="15.75" customHeight="1">
      <c r="A988" s="18">
        <v>984.0</v>
      </c>
      <c r="B988" s="19" t="s">
        <v>958</v>
      </c>
      <c r="C988" s="19" t="s">
        <v>2536</v>
      </c>
      <c r="D988" s="19" t="s">
        <v>2543</v>
      </c>
      <c r="E988" s="53" t="s">
        <v>42</v>
      </c>
      <c r="F988" s="54" t="s">
        <v>46</v>
      </c>
      <c r="G988" s="61" t="s">
        <v>47</v>
      </c>
      <c r="H988" s="39"/>
      <c r="I988" s="19"/>
      <c r="J988" s="19" t="str">
        <f t="array" ref="J988">IF($I988="","",IFERROR(INDEX(Legend!$C$41:$C$45,MATCH($I988,Legend!$B$41:$B$45,0)),""))</f>
        <v/>
      </c>
      <c r="K988" s="19"/>
    </row>
    <row r="989" ht="15.75" customHeight="1">
      <c r="A989" s="18">
        <v>985.0</v>
      </c>
      <c r="B989" s="19" t="s">
        <v>958</v>
      </c>
      <c r="C989" s="19" t="s">
        <v>2309</v>
      </c>
      <c r="D989" s="19" t="s">
        <v>2544</v>
      </c>
      <c r="E989" s="53" t="s">
        <v>42</v>
      </c>
      <c r="F989" s="54" t="s">
        <v>46</v>
      </c>
      <c r="G989" s="46" t="s">
        <v>50</v>
      </c>
      <c r="H989" s="39" t="s">
        <v>2545</v>
      </c>
      <c r="I989" s="19"/>
      <c r="J989" s="19" t="str">
        <f t="array" ref="J989">IF($I989="","",IFERROR(INDEX(Legend!$C$41:$C$45,MATCH($I989,Legend!$B$41:$B$45,0)),""))</f>
        <v/>
      </c>
      <c r="K989" s="19"/>
    </row>
    <row r="990" ht="15.75" customHeight="1">
      <c r="A990" s="18">
        <v>986.0</v>
      </c>
      <c r="B990" s="19" t="s">
        <v>958</v>
      </c>
      <c r="C990" s="19" t="s">
        <v>2332</v>
      </c>
      <c r="D990" s="19" t="s">
        <v>2546</v>
      </c>
      <c r="E990" s="53" t="s">
        <v>42</v>
      </c>
      <c r="F990" s="48" t="s">
        <v>77</v>
      </c>
      <c r="G990" s="46" t="s">
        <v>50</v>
      </c>
      <c r="H990" s="39" t="s">
        <v>2547</v>
      </c>
      <c r="I990" s="19"/>
      <c r="J990" s="19" t="str">
        <f t="array" ref="J990">IF($I990="","",IFERROR(INDEX(Legend!$C$41:$C$45,MATCH($I990,Legend!$B$41:$B$45,0)),""))</f>
        <v/>
      </c>
      <c r="K990" s="19"/>
    </row>
    <row r="991" ht="15.75" customHeight="1">
      <c r="A991" s="18">
        <v>987.0</v>
      </c>
      <c r="B991" s="19" t="s">
        <v>958</v>
      </c>
      <c r="C991" s="19" t="s">
        <v>2290</v>
      </c>
      <c r="D991" s="19" t="s">
        <v>2548</v>
      </c>
      <c r="E991" s="53" t="s">
        <v>42</v>
      </c>
      <c r="F991" s="54" t="s">
        <v>46</v>
      </c>
      <c r="G991" s="46" t="s">
        <v>50</v>
      </c>
      <c r="H991" s="39" t="s">
        <v>2549</v>
      </c>
      <c r="I991" s="19"/>
      <c r="J991" s="19" t="str">
        <f t="array" ref="J991">IF($I991="","",IFERROR(INDEX(Legend!$C$41:$C$45,MATCH($I991,Legend!$B$41:$B$45,0)),""))</f>
        <v/>
      </c>
      <c r="K991" s="19"/>
    </row>
    <row r="992" ht="15.75" customHeight="1">
      <c r="A992" s="18">
        <v>988.0</v>
      </c>
      <c r="B992" s="19" t="s">
        <v>958</v>
      </c>
      <c r="C992" s="19" t="s">
        <v>2356</v>
      </c>
      <c r="D992" s="19" t="s">
        <v>2550</v>
      </c>
      <c r="E992" s="53" t="s">
        <v>42</v>
      </c>
      <c r="F992" s="48" t="s">
        <v>77</v>
      </c>
      <c r="G992" s="37" t="s">
        <v>49</v>
      </c>
      <c r="H992" s="39" t="s">
        <v>2551</v>
      </c>
      <c r="I992" s="19"/>
      <c r="J992" s="19" t="str">
        <f t="array" ref="J992">IF($I992="","",IFERROR(INDEX(Legend!$C$41:$C$45,MATCH($I992,Legend!$B$41:$B$45,0)),""))</f>
        <v/>
      </c>
      <c r="K992" s="19"/>
    </row>
    <row r="993" ht="15.75" customHeight="1">
      <c r="A993" s="18">
        <v>989.0</v>
      </c>
      <c r="B993" s="19" t="s">
        <v>958</v>
      </c>
      <c r="C993" s="19" t="s">
        <v>2233</v>
      </c>
      <c r="D993" s="19" t="s">
        <v>2552</v>
      </c>
      <c r="E993" s="53" t="s">
        <v>42</v>
      </c>
      <c r="F993" s="48" t="s">
        <v>77</v>
      </c>
      <c r="G993" s="37" t="s">
        <v>49</v>
      </c>
      <c r="H993" s="39" t="s">
        <v>2553</v>
      </c>
      <c r="I993" s="19"/>
      <c r="J993" s="19" t="str">
        <f t="array" ref="J993">IF($I993="","",IFERROR(INDEX(Legend!$C$41:$C$45,MATCH($I993,Legend!$B$41:$B$45,0)),""))</f>
        <v/>
      </c>
      <c r="K993" s="19"/>
    </row>
    <row r="994" ht="15.75" customHeight="1">
      <c r="A994" s="18">
        <v>990.0</v>
      </c>
      <c r="B994" s="19" t="s">
        <v>958</v>
      </c>
      <c r="C994" s="19" t="s">
        <v>2367</v>
      </c>
      <c r="D994" s="19" t="s">
        <v>2554</v>
      </c>
      <c r="E994" s="53" t="s">
        <v>42</v>
      </c>
      <c r="F994" s="48" t="s">
        <v>77</v>
      </c>
      <c r="G994" s="37" t="s">
        <v>49</v>
      </c>
      <c r="H994" s="39" t="s">
        <v>2555</v>
      </c>
      <c r="I994" s="19"/>
      <c r="J994" s="19" t="str">
        <f t="array" ref="J994">IF($I994="","",IFERROR(INDEX(Legend!$C$41:$C$45,MATCH($I994,Legend!$B$41:$B$45,0)),""))</f>
        <v/>
      </c>
      <c r="K994" s="19"/>
    </row>
    <row r="995" ht="15.75" customHeight="1">
      <c r="A995" s="18">
        <v>991.0</v>
      </c>
      <c r="B995" s="19" t="s">
        <v>958</v>
      </c>
      <c r="C995" s="19" t="s">
        <v>2443</v>
      </c>
      <c r="D995" s="19" t="s">
        <v>2556</v>
      </c>
      <c r="E995" s="53" t="s">
        <v>42</v>
      </c>
      <c r="F995" s="48" t="s">
        <v>77</v>
      </c>
      <c r="G995" s="37" t="s">
        <v>49</v>
      </c>
      <c r="H995" s="39" t="s">
        <v>2557</v>
      </c>
      <c r="I995" s="19"/>
      <c r="J995" s="19" t="str">
        <f t="array" ref="J995">IF($I995="","",IFERROR(INDEX(Legend!$C$41:$C$45,MATCH($I995,Legend!$B$41:$B$45,0)),""))</f>
        <v/>
      </c>
      <c r="K995" s="19"/>
    </row>
    <row r="996" ht="15.75" customHeight="1">
      <c r="A996" s="18">
        <v>992.0</v>
      </c>
      <c r="B996" s="19" t="s">
        <v>958</v>
      </c>
      <c r="C996" s="19" t="s">
        <v>2443</v>
      </c>
      <c r="D996" s="19" t="s">
        <v>2558</v>
      </c>
      <c r="E996" s="53" t="s">
        <v>42</v>
      </c>
      <c r="F996" s="48" t="s">
        <v>77</v>
      </c>
      <c r="G996" s="37" t="s">
        <v>49</v>
      </c>
      <c r="H996" s="39" t="s">
        <v>2559</v>
      </c>
      <c r="I996" s="19"/>
      <c r="J996" s="19" t="str">
        <f t="array" ref="J996">IF($I996="","",IFERROR(INDEX(Legend!$C$41:$C$45,MATCH($I996,Legend!$B$41:$B$45,0)),""))</f>
        <v/>
      </c>
      <c r="K996" s="19"/>
    </row>
    <row r="997" ht="15.75" customHeight="1">
      <c r="A997" s="18">
        <v>993.0</v>
      </c>
      <c r="B997" s="19" t="s">
        <v>958</v>
      </c>
      <c r="C997" s="19" t="s">
        <v>2506</v>
      </c>
      <c r="D997" s="19" t="s">
        <v>2560</v>
      </c>
      <c r="E997" s="53" t="s">
        <v>42</v>
      </c>
      <c r="F997" s="48" t="s">
        <v>77</v>
      </c>
      <c r="G997" s="37" t="s">
        <v>49</v>
      </c>
      <c r="H997" s="39" t="s">
        <v>2561</v>
      </c>
      <c r="I997" s="19"/>
      <c r="J997" s="19" t="str">
        <f t="array" ref="J997">IF($I997="","",IFERROR(INDEX(Legend!$C$41:$C$45,MATCH($I997,Legend!$B$41:$B$45,0)),""))</f>
        <v/>
      </c>
      <c r="K997" s="19"/>
    </row>
    <row r="998" ht="15.75" customHeight="1">
      <c r="A998" s="18">
        <v>994.0</v>
      </c>
      <c r="B998" s="19" t="s">
        <v>958</v>
      </c>
      <c r="C998" s="19" t="s">
        <v>2412</v>
      </c>
      <c r="D998" s="19" t="s">
        <v>2562</v>
      </c>
      <c r="E998" s="53" t="s">
        <v>42</v>
      </c>
      <c r="F998" s="31" t="s">
        <v>34</v>
      </c>
      <c r="G998" s="46" t="s">
        <v>50</v>
      </c>
      <c r="H998" s="39" t="s">
        <v>2563</v>
      </c>
      <c r="I998" s="19"/>
      <c r="J998" s="19" t="str">
        <f t="array" ref="J998">IF($I998="","",IFERROR(INDEX(Legend!$C$41:$C$45,MATCH($I998,Legend!$B$41:$B$45,0)),""))</f>
        <v/>
      </c>
      <c r="K998" s="19"/>
    </row>
    <row r="999" ht="15.75" customHeight="1">
      <c r="A999" s="18">
        <v>995.0</v>
      </c>
      <c r="B999" s="19" t="s">
        <v>965</v>
      </c>
      <c r="C999" s="19"/>
      <c r="D999" s="19" t="s">
        <v>2564</v>
      </c>
      <c r="E999" s="53" t="s">
        <v>42</v>
      </c>
      <c r="F999" s="48" t="s">
        <v>77</v>
      </c>
      <c r="G999" s="37" t="s">
        <v>49</v>
      </c>
      <c r="H999" s="39"/>
      <c r="I999" s="19"/>
      <c r="J999" s="19" t="str">
        <f t="array" ref="J999">IF($I999="","",IFERROR(INDEX(Legend!$C$41:$C$45,MATCH($I999,Legend!$B$41:$B$45,0)),""))</f>
        <v/>
      </c>
      <c r="K999" s="19"/>
    </row>
    <row r="1000" ht="15.75" customHeight="1">
      <c r="A1000" s="18">
        <v>996.0</v>
      </c>
      <c r="B1000" s="19" t="s">
        <v>965</v>
      </c>
      <c r="C1000" s="19"/>
      <c r="D1000" s="19" t="s">
        <v>2565</v>
      </c>
      <c r="E1000" s="53" t="s">
        <v>42</v>
      </c>
      <c r="F1000" s="31" t="s">
        <v>34</v>
      </c>
      <c r="G1000" s="46" t="s">
        <v>50</v>
      </c>
      <c r="H1000" s="39"/>
      <c r="I1000" s="19"/>
      <c r="J1000" s="19" t="str">
        <f t="array" ref="J1000">IF($I1000="","",IFERROR(INDEX(Legend!$C$41:$C$45,MATCH($I1000,Legend!$B$41:$B$45,0)),""))</f>
        <v/>
      </c>
      <c r="K1000" s="19"/>
    </row>
    <row r="1001" ht="15.75" customHeight="1">
      <c r="A1001" s="18">
        <v>997.0</v>
      </c>
      <c r="B1001" s="19" t="s">
        <v>965</v>
      </c>
      <c r="C1001" s="19"/>
      <c r="D1001" s="19" t="s">
        <v>2566</v>
      </c>
      <c r="E1001" s="53" t="s">
        <v>42</v>
      </c>
      <c r="F1001" s="31" t="s">
        <v>34</v>
      </c>
      <c r="G1001" s="37" t="s">
        <v>49</v>
      </c>
      <c r="H1001" s="39" t="s">
        <v>2567</v>
      </c>
      <c r="I1001" s="19"/>
      <c r="J1001" s="19" t="str">
        <f t="array" ref="J1001">IF($I1001="","",IFERROR(INDEX(Legend!$C$41:$C$45,MATCH($I1001,Legend!$B$41:$B$45,0)),""))</f>
        <v/>
      </c>
      <c r="K1001" s="19"/>
    </row>
    <row r="1002" ht="15.75" customHeight="1">
      <c r="A1002" s="18">
        <v>998.0</v>
      </c>
      <c r="B1002" s="19" t="s">
        <v>965</v>
      </c>
      <c r="C1002" s="19"/>
      <c r="D1002" s="19" t="s">
        <v>2568</v>
      </c>
      <c r="E1002" s="53" t="s">
        <v>42</v>
      </c>
      <c r="F1002" s="31" t="s">
        <v>34</v>
      </c>
      <c r="G1002" s="46" t="s">
        <v>50</v>
      </c>
      <c r="H1002" s="39"/>
      <c r="I1002" s="19"/>
      <c r="J1002" s="19" t="str">
        <f t="array" ref="J1002">IF($I1002="","",IFERROR(INDEX(Legend!$C$41:$C$45,MATCH($I1002,Legend!$B$41:$B$45,0)),""))</f>
        <v/>
      </c>
      <c r="K1002" s="19"/>
    </row>
    <row r="1003" ht="15.75" customHeight="1">
      <c r="A1003" s="18">
        <v>999.0</v>
      </c>
      <c r="B1003" s="19" t="s">
        <v>965</v>
      </c>
      <c r="C1003" s="19"/>
      <c r="D1003" s="19" t="s">
        <v>2569</v>
      </c>
      <c r="E1003" s="53" t="s">
        <v>42</v>
      </c>
      <c r="F1003" s="31" t="s">
        <v>34</v>
      </c>
      <c r="G1003" s="37" t="s">
        <v>49</v>
      </c>
      <c r="H1003" s="39"/>
      <c r="I1003" s="19"/>
      <c r="J1003" s="19" t="str">
        <f t="array" ref="J1003">IF($I1003="","",IFERROR(INDEX(Legend!$C$41:$C$45,MATCH($I1003,Legend!$B$41:$B$45,0)),""))</f>
        <v/>
      </c>
      <c r="K1003" s="19"/>
    </row>
    <row r="1004" ht="15.75" customHeight="1">
      <c r="A1004" s="18">
        <v>1000.0</v>
      </c>
      <c r="B1004" s="19" t="s">
        <v>965</v>
      </c>
      <c r="C1004" s="19"/>
      <c r="D1004" s="19" t="s">
        <v>2570</v>
      </c>
      <c r="E1004" s="53" t="s">
        <v>42</v>
      </c>
      <c r="F1004" s="48" t="s">
        <v>77</v>
      </c>
      <c r="G1004" s="37" t="s">
        <v>49</v>
      </c>
      <c r="H1004" s="39" t="s">
        <v>2571</v>
      </c>
      <c r="I1004" s="19"/>
      <c r="J1004" s="19" t="str">
        <f t="array" ref="J1004">IF($I1004="","",IFERROR(INDEX(Legend!$C$41:$C$45,MATCH($I1004,Legend!$B$41:$B$45,0)),""))</f>
        <v/>
      </c>
      <c r="K1004" s="19"/>
    </row>
    <row r="1005" ht="15.75" customHeight="1">
      <c r="A1005" s="18">
        <v>1001.0</v>
      </c>
      <c r="B1005" s="19" t="s">
        <v>965</v>
      </c>
      <c r="C1005" s="19"/>
      <c r="D1005" s="19" t="s">
        <v>2572</v>
      </c>
      <c r="E1005" s="53" t="s">
        <v>42</v>
      </c>
      <c r="F1005" s="31" t="s">
        <v>34</v>
      </c>
      <c r="G1005" s="46" t="s">
        <v>50</v>
      </c>
      <c r="H1005" s="39"/>
      <c r="I1005" s="19"/>
      <c r="J1005" s="19" t="str">
        <f t="array" ref="J1005">IF($I1005="","",IFERROR(INDEX(Legend!$C$41:$C$45,MATCH($I1005,Legend!$B$41:$B$45,0)),""))</f>
        <v/>
      </c>
      <c r="K1005" s="19"/>
    </row>
    <row r="1006" ht="15.75" customHeight="1">
      <c r="A1006" s="18">
        <v>1002.0</v>
      </c>
      <c r="B1006" s="19" t="s">
        <v>965</v>
      </c>
      <c r="C1006" s="19"/>
      <c r="D1006" s="19" t="s">
        <v>2573</v>
      </c>
      <c r="E1006" s="53" t="s">
        <v>42</v>
      </c>
      <c r="F1006" s="31" t="s">
        <v>34</v>
      </c>
      <c r="G1006" s="37" t="s">
        <v>49</v>
      </c>
      <c r="H1006" s="39"/>
      <c r="I1006" s="19"/>
      <c r="J1006" s="19" t="str">
        <f t="array" ref="J1006">IF($I1006="","",IFERROR(INDEX(Legend!$C$41:$C$45,MATCH($I1006,Legend!$B$41:$B$45,0)),""))</f>
        <v/>
      </c>
      <c r="K1006" s="19"/>
    </row>
    <row r="1007" ht="15.75" customHeight="1">
      <c r="A1007" s="18">
        <v>1003.0</v>
      </c>
      <c r="B1007" s="19" t="s">
        <v>965</v>
      </c>
      <c r="C1007" s="19"/>
      <c r="D1007" s="19" t="s">
        <v>2574</v>
      </c>
      <c r="E1007" s="53" t="s">
        <v>42</v>
      </c>
      <c r="F1007" s="31" t="s">
        <v>34</v>
      </c>
      <c r="G1007" s="37" t="s">
        <v>49</v>
      </c>
      <c r="H1007" s="39"/>
      <c r="I1007" s="19"/>
      <c r="J1007" s="19" t="str">
        <f t="array" ref="J1007">IF($I1007="","",IFERROR(INDEX(Legend!$C$41:$C$45,MATCH($I1007,Legend!$B$41:$B$45,0)),""))</f>
        <v/>
      </c>
      <c r="K1007" s="19"/>
    </row>
    <row r="1008" ht="15.75" customHeight="1">
      <c r="A1008" s="18">
        <v>1004.0</v>
      </c>
      <c r="B1008" s="19" t="s">
        <v>965</v>
      </c>
      <c r="C1008" s="19"/>
      <c r="D1008" s="19" t="s">
        <v>2575</v>
      </c>
      <c r="E1008" s="53" t="s">
        <v>42</v>
      </c>
      <c r="F1008" s="31" t="s">
        <v>34</v>
      </c>
      <c r="G1008" s="37" t="s">
        <v>49</v>
      </c>
      <c r="H1008" s="39"/>
      <c r="I1008" s="19"/>
      <c r="J1008" s="19" t="str">
        <f t="array" ref="J1008">IF($I1008="","",IFERROR(INDEX(Legend!$C$41:$C$45,MATCH($I1008,Legend!$B$41:$B$45,0)),""))</f>
        <v/>
      </c>
      <c r="K1008" s="19"/>
    </row>
    <row r="1009" ht="15.75" customHeight="1">
      <c r="A1009" s="18">
        <v>1005.0</v>
      </c>
      <c r="B1009" s="19" t="s">
        <v>965</v>
      </c>
      <c r="C1009" s="19"/>
      <c r="D1009" s="19" t="s">
        <v>2576</v>
      </c>
      <c r="E1009" s="53" t="s">
        <v>42</v>
      </c>
      <c r="F1009" s="31" t="s">
        <v>34</v>
      </c>
      <c r="G1009" s="37" t="s">
        <v>49</v>
      </c>
      <c r="H1009" s="39"/>
      <c r="I1009" s="19"/>
      <c r="J1009" s="19" t="str">
        <f t="array" ref="J1009">IF($I1009="","",IFERROR(INDEX(Legend!$C$41:$C$45,MATCH($I1009,Legend!$B$41:$B$45,0)),""))</f>
        <v/>
      </c>
      <c r="K1009" s="19"/>
    </row>
    <row r="1010" ht="15.75" customHeight="1">
      <c r="A1010" s="18">
        <v>1006.0</v>
      </c>
      <c r="B1010" s="19" t="s">
        <v>965</v>
      </c>
      <c r="C1010" s="19"/>
      <c r="D1010" s="19" t="s">
        <v>2577</v>
      </c>
      <c r="E1010" s="53" t="s">
        <v>42</v>
      </c>
      <c r="F1010" s="31" t="s">
        <v>34</v>
      </c>
      <c r="G1010" s="37" t="s">
        <v>49</v>
      </c>
      <c r="H1010" s="39"/>
      <c r="I1010" s="19"/>
      <c r="J1010" s="19" t="str">
        <f t="array" ref="J1010">IF($I1010="","",IFERROR(INDEX(Legend!$C$41:$C$45,MATCH($I1010,Legend!$B$41:$B$45,0)),""))</f>
        <v/>
      </c>
      <c r="K1010" s="19"/>
    </row>
    <row r="1011" ht="15.75" customHeight="1">
      <c r="A1011" s="18">
        <v>1007.0</v>
      </c>
      <c r="B1011" s="19" t="s">
        <v>965</v>
      </c>
      <c r="C1011" s="19"/>
      <c r="D1011" s="19" t="s">
        <v>2578</v>
      </c>
      <c r="E1011" s="53" t="s">
        <v>42</v>
      </c>
      <c r="F1011" s="31" t="s">
        <v>34</v>
      </c>
      <c r="G1011" s="37" t="s">
        <v>49</v>
      </c>
      <c r="H1011" s="39" t="s">
        <v>2579</v>
      </c>
      <c r="I1011" s="19"/>
      <c r="J1011" s="19" t="str">
        <f t="array" ref="J1011">IF($I1011="","",IFERROR(INDEX(Legend!$C$41:$C$45,MATCH($I1011,Legend!$B$41:$B$45,0)),""))</f>
        <v/>
      </c>
      <c r="K1011" s="19"/>
    </row>
    <row r="1012" ht="15.75" customHeight="1">
      <c r="A1012" s="18">
        <v>1008.0</v>
      </c>
      <c r="B1012" s="19" t="s">
        <v>965</v>
      </c>
      <c r="C1012" s="19"/>
      <c r="D1012" s="19" t="s">
        <v>2580</v>
      </c>
      <c r="E1012" s="53" t="s">
        <v>42</v>
      </c>
      <c r="F1012" s="31" t="s">
        <v>34</v>
      </c>
      <c r="G1012" s="46" t="s">
        <v>50</v>
      </c>
      <c r="H1012" s="39"/>
      <c r="I1012" s="19"/>
      <c r="J1012" s="19" t="str">
        <f t="array" ref="J1012">IF($I1012="","",IFERROR(INDEX(Legend!$C$41:$C$45,MATCH($I1012,Legend!$B$41:$B$45,0)),""))</f>
        <v/>
      </c>
      <c r="K1012" s="19"/>
    </row>
    <row r="1013" ht="15.75" customHeight="1">
      <c r="A1013" s="18">
        <v>1009.0</v>
      </c>
      <c r="B1013" s="19" t="s">
        <v>965</v>
      </c>
      <c r="C1013" s="19"/>
      <c r="D1013" s="19" t="s">
        <v>2581</v>
      </c>
      <c r="E1013" s="53" t="s">
        <v>42</v>
      </c>
      <c r="F1013" s="31" t="s">
        <v>34</v>
      </c>
      <c r="G1013" s="37" t="s">
        <v>49</v>
      </c>
      <c r="H1013" s="39" t="s">
        <v>2582</v>
      </c>
      <c r="I1013" s="19"/>
      <c r="J1013" s="19" t="str">
        <f t="array" ref="J1013">IF($I1013="","",IFERROR(INDEX(Legend!$C$41:$C$45,MATCH($I1013,Legend!$B$41:$B$45,0)),""))</f>
        <v/>
      </c>
      <c r="K1013" s="19"/>
    </row>
    <row r="1014" ht="15.75" customHeight="1">
      <c r="A1014" s="18">
        <v>1010.0</v>
      </c>
      <c r="B1014" s="19" t="s">
        <v>965</v>
      </c>
      <c r="C1014" s="19"/>
      <c r="D1014" s="19" t="s">
        <v>2583</v>
      </c>
      <c r="E1014" s="53" t="s">
        <v>42</v>
      </c>
      <c r="F1014" s="31" t="s">
        <v>34</v>
      </c>
      <c r="G1014" s="37" t="s">
        <v>49</v>
      </c>
      <c r="H1014" s="39" t="s">
        <v>2584</v>
      </c>
      <c r="I1014" s="19"/>
      <c r="J1014" s="19" t="str">
        <f t="array" ref="J1014">IF($I1014="","",IFERROR(INDEX(Legend!$C$41:$C$45,MATCH($I1014,Legend!$B$41:$B$45,0)),""))</f>
        <v/>
      </c>
      <c r="K1014" s="19"/>
    </row>
    <row r="1015" ht="15.75" customHeight="1">
      <c r="A1015" s="18">
        <v>1011.0</v>
      </c>
      <c r="B1015" s="19" t="s">
        <v>965</v>
      </c>
      <c r="C1015" s="19"/>
      <c r="D1015" s="19" t="s">
        <v>2585</v>
      </c>
      <c r="E1015" s="53" t="s">
        <v>42</v>
      </c>
      <c r="F1015" s="31" t="s">
        <v>34</v>
      </c>
      <c r="G1015" s="37" t="s">
        <v>49</v>
      </c>
      <c r="H1015" s="39"/>
      <c r="I1015" s="19"/>
      <c r="J1015" s="19" t="str">
        <f t="array" ref="J1015">IF($I1015="","",IFERROR(INDEX(Legend!$C$41:$C$45,MATCH($I1015,Legend!$B$41:$B$45,0)),""))</f>
        <v/>
      </c>
      <c r="K1015" s="19"/>
    </row>
    <row r="1016" ht="15.75" customHeight="1">
      <c r="A1016" s="18">
        <v>1012.0</v>
      </c>
      <c r="B1016" s="19" t="s">
        <v>965</v>
      </c>
      <c r="C1016" s="19"/>
      <c r="D1016" s="19" t="s">
        <v>2586</v>
      </c>
      <c r="E1016" s="53" t="s">
        <v>42</v>
      </c>
      <c r="F1016" s="31" t="s">
        <v>34</v>
      </c>
      <c r="G1016" s="37" t="s">
        <v>49</v>
      </c>
      <c r="H1016" s="39"/>
      <c r="I1016" s="19"/>
      <c r="J1016" s="19" t="str">
        <f t="array" ref="J1016">IF($I1016="","",IFERROR(INDEX(Legend!$C$41:$C$45,MATCH($I1016,Legend!$B$41:$B$45,0)),""))</f>
        <v/>
      </c>
      <c r="K1016" s="19"/>
    </row>
    <row r="1017" ht="15.75" customHeight="1">
      <c r="A1017" s="18">
        <v>1013.0</v>
      </c>
      <c r="B1017" s="19" t="s">
        <v>965</v>
      </c>
      <c r="C1017" s="19"/>
      <c r="D1017" s="19" t="s">
        <v>2587</v>
      </c>
      <c r="E1017" s="53" t="s">
        <v>42</v>
      </c>
      <c r="F1017" s="48" t="s">
        <v>77</v>
      </c>
      <c r="G1017" s="37" t="s">
        <v>49</v>
      </c>
      <c r="H1017" s="39"/>
      <c r="I1017" s="19"/>
      <c r="J1017" s="19" t="str">
        <f t="array" ref="J1017">IF($I1017="","",IFERROR(INDEX(Legend!$C$41:$C$45,MATCH($I1017,Legend!$B$41:$B$45,0)),""))</f>
        <v/>
      </c>
      <c r="K1017" s="19"/>
    </row>
    <row r="1018" ht="15.75" customHeight="1">
      <c r="A1018" s="18">
        <v>1014.0</v>
      </c>
      <c r="B1018" s="19" t="s">
        <v>965</v>
      </c>
      <c r="C1018" s="19"/>
      <c r="D1018" s="19" t="s">
        <v>1096</v>
      </c>
      <c r="E1018" s="53" t="s">
        <v>42</v>
      </c>
      <c r="F1018" s="31" t="s">
        <v>34</v>
      </c>
      <c r="G1018" s="37" t="s">
        <v>49</v>
      </c>
      <c r="H1018" s="39"/>
      <c r="I1018" s="19"/>
      <c r="J1018" s="19" t="str">
        <f t="array" ref="J1018">IF($I1018="","",IFERROR(INDEX(Legend!$C$41:$C$45,MATCH($I1018,Legend!$B$41:$B$45,0)),""))</f>
        <v/>
      </c>
      <c r="K1018" s="19"/>
    </row>
    <row r="1019" ht="15.75" customHeight="1">
      <c r="A1019" s="18">
        <v>1015.0</v>
      </c>
      <c r="B1019" s="19" t="s">
        <v>965</v>
      </c>
      <c r="C1019" s="19"/>
      <c r="D1019" s="19" t="s">
        <v>2588</v>
      </c>
      <c r="E1019" s="53" t="s">
        <v>42</v>
      </c>
      <c r="F1019" s="31" t="s">
        <v>34</v>
      </c>
      <c r="G1019" s="46" t="s">
        <v>50</v>
      </c>
      <c r="H1019" s="39"/>
      <c r="I1019" s="19"/>
      <c r="J1019" s="19" t="str">
        <f t="array" ref="J1019">IF($I1019="","",IFERROR(INDEX(Legend!$C$41:$C$45,MATCH($I1019,Legend!$B$41:$B$45,0)),""))</f>
        <v/>
      </c>
      <c r="K1019" s="19"/>
    </row>
    <row r="1020" ht="15.75" customHeight="1">
      <c r="A1020" s="18">
        <v>1016.0</v>
      </c>
      <c r="B1020" s="19" t="s">
        <v>965</v>
      </c>
      <c r="C1020" s="19"/>
      <c r="D1020" s="19" t="s">
        <v>2589</v>
      </c>
      <c r="E1020" s="53" t="s">
        <v>42</v>
      </c>
      <c r="F1020" s="31" t="s">
        <v>34</v>
      </c>
      <c r="G1020" s="46" t="s">
        <v>50</v>
      </c>
      <c r="H1020" s="39"/>
      <c r="I1020" s="19"/>
      <c r="J1020" s="19" t="str">
        <f t="array" ref="J1020">IF($I1020="","",IFERROR(INDEX(Legend!$C$41:$C$45,MATCH($I1020,Legend!$B$41:$B$45,0)),""))</f>
        <v/>
      </c>
      <c r="K1020" s="19"/>
    </row>
    <row r="1021" ht="15.75" customHeight="1">
      <c r="A1021" s="18">
        <v>1017.0</v>
      </c>
      <c r="B1021" s="19" t="s">
        <v>965</v>
      </c>
      <c r="C1021" s="19"/>
      <c r="D1021" s="19" t="s">
        <v>2590</v>
      </c>
      <c r="E1021" s="53" t="s">
        <v>42</v>
      </c>
      <c r="F1021" s="48" t="s">
        <v>77</v>
      </c>
      <c r="G1021" s="37" t="s">
        <v>49</v>
      </c>
      <c r="H1021" s="39"/>
      <c r="I1021" s="19"/>
      <c r="J1021" s="19" t="str">
        <f t="array" ref="J1021">IF($I1021="","",IFERROR(INDEX(Legend!$C$41:$C$45,MATCH($I1021,Legend!$B$41:$B$45,0)),""))</f>
        <v/>
      </c>
      <c r="K1021" s="19"/>
    </row>
    <row r="1022" ht="15.75" customHeight="1">
      <c r="A1022" s="18">
        <v>1018.0</v>
      </c>
      <c r="B1022" s="19" t="s">
        <v>965</v>
      </c>
      <c r="C1022" s="19"/>
      <c r="D1022" s="19" t="s">
        <v>2591</v>
      </c>
      <c r="E1022" s="53" t="s">
        <v>42</v>
      </c>
      <c r="F1022" s="31" t="s">
        <v>34</v>
      </c>
      <c r="G1022" s="46" t="s">
        <v>50</v>
      </c>
      <c r="H1022" s="39"/>
      <c r="I1022" s="19"/>
      <c r="J1022" s="19" t="str">
        <f t="array" ref="J1022">IF($I1022="","",IFERROR(INDEX(Legend!$C$41:$C$45,MATCH($I1022,Legend!$B$41:$B$45,0)),""))</f>
        <v/>
      </c>
      <c r="K1022" s="19"/>
    </row>
    <row r="1023" ht="15.75" customHeight="1">
      <c r="A1023" s="18">
        <v>1019.0</v>
      </c>
      <c r="B1023" s="19" t="s">
        <v>965</v>
      </c>
      <c r="C1023" s="19"/>
      <c r="D1023" s="19" t="s">
        <v>2592</v>
      </c>
      <c r="E1023" s="53" t="s">
        <v>42</v>
      </c>
      <c r="F1023" s="31" t="s">
        <v>34</v>
      </c>
      <c r="G1023" s="37" t="s">
        <v>49</v>
      </c>
      <c r="H1023" s="39" t="s">
        <v>2593</v>
      </c>
      <c r="I1023" s="19"/>
      <c r="J1023" s="19" t="str">
        <f t="array" ref="J1023">IF($I1023="","",IFERROR(INDEX(Legend!$C$41:$C$45,MATCH($I1023,Legend!$B$41:$B$45,0)),""))</f>
        <v/>
      </c>
      <c r="K1023" s="19"/>
    </row>
    <row r="1024" ht="15.75" customHeight="1">
      <c r="A1024" s="18">
        <v>1020.0</v>
      </c>
      <c r="B1024" s="19" t="s">
        <v>965</v>
      </c>
      <c r="C1024" s="19"/>
      <c r="D1024" s="19" t="s">
        <v>2594</v>
      </c>
      <c r="E1024" s="53" t="s">
        <v>42</v>
      </c>
      <c r="F1024" s="31" t="s">
        <v>34</v>
      </c>
      <c r="G1024" s="37" t="s">
        <v>49</v>
      </c>
      <c r="H1024" s="39"/>
      <c r="I1024" s="19"/>
      <c r="J1024" s="19" t="str">
        <f t="array" ref="J1024">IF($I1024="","",IFERROR(INDEX(Legend!$C$41:$C$45,MATCH($I1024,Legend!$B$41:$B$45,0)),""))</f>
        <v/>
      </c>
      <c r="K1024" s="19"/>
    </row>
    <row r="1025" ht="15.75" customHeight="1">
      <c r="A1025" s="18">
        <v>1021.0</v>
      </c>
      <c r="B1025" s="19" t="s">
        <v>965</v>
      </c>
      <c r="C1025" s="19"/>
      <c r="D1025" s="19" t="s">
        <v>2595</v>
      </c>
      <c r="E1025" s="53" t="s">
        <v>42</v>
      </c>
      <c r="F1025" s="31" t="s">
        <v>34</v>
      </c>
      <c r="G1025" s="37" t="s">
        <v>49</v>
      </c>
      <c r="H1025" s="39"/>
      <c r="I1025" s="19"/>
      <c r="J1025" s="19" t="str">
        <f t="array" ref="J1025">IF($I1025="","",IFERROR(INDEX(Legend!$C$41:$C$45,MATCH($I1025,Legend!$B$41:$B$45,0)),""))</f>
        <v/>
      </c>
      <c r="K1025" s="19"/>
    </row>
    <row r="1026" ht="15.75" customHeight="1">
      <c r="A1026" s="18">
        <v>1022.0</v>
      </c>
      <c r="B1026" s="19" t="s">
        <v>965</v>
      </c>
      <c r="C1026" s="19"/>
      <c r="D1026" s="19" t="s">
        <v>2596</v>
      </c>
      <c r="E1026" s="53" t="s">
        <v>42</v>
      </c>
      <c r="F1026" s="31" t="s">
        <v>34</v>
      </c>
      <c r="G1026" s="37" t="s">
        <v>49</v>
      </c>
      <c r="H1026" s="39" t="s">
        <v>2597</v>
      </c>
      <c r="I1026" s="19"/>
      <c r="J1026" s="19" t="str">
        <f t="array" ref="J1026">IF($I1026="","",IFERROR(INDEX(Legend!$C$41:$C$45,MATCH($I1026,Legend!$B$41:$B$45,0)),""))</f>
        <v/>
      </c>
      <c r="K1026" s="19"/>
    </row>
    <row r="1027" ht="15.75" customHeight="1">
      <c r="A1027" s="18">
        <v>1023.0</v>
      </c>
      <c r="B1027" s="19" t="s">
        <v>965</v>
      </c>
      <c r="C1027" s="19" t="s">
        <v>2598</v>
      </c>
      <c r="D1027" s="19" t="s">
        <v>2599</v>
      </c>
      <c r="E1027" s="53" t="s">
        <v>42</v>
      </c>
      <c r="F1027" s="54" t="s">
        <v>46</v>
      </c>
      <c r="G1027" s="46" t="s">
        <v>50</v>
      </c>
      <c r="H1027" s="39" t="s">
        <v>2600</v>
      </c>
      <c r="I1027" s="19"/>
      <c r="J1027" s="19" t="str">
        <f t="array" ref="J1027">IF($I1027="","",IFERROR(INDEX(Legend!$C$41:$C$45,MATCH($I1027,Legend!$B$41:$B$45,0)),""))</f>
        <v/>
      </c>
      <c r="K1027" s="19"/>
    </row>
    <row r="1028" ht="15.75" customHeight="1">
      <c r="A1028" s="18">
        <v>1024.0</v>
      </c>
      <c r="B1028" s="19" t="s">
        <v>965</v>
      </c>
      <c r="C1028" s="19" t="s">
        <v>2598</v>
      </c>
      <c r="D1028" s="19" t="s">
        <v>2601</v>
      </c>
      <c r="E1028" s="53" t="s">
        <v>42</v>
      </c>
      <c r="F1028" s="31" t="s">
        <v>34</v>
      </c>
      <c r="G1028" s="61" t="s">
        <v>47</v>
      </c>
      <c r="H1028" s="39" t="s">
        <v>2602</v>
      </c>
      <c r="I1028" s="19"/>
      <c r="J1028" s="19" t="str">
        <f t="array" ref="J1028">IF($I1028="","",IFERROR(INDEX(Legend!$C$41:$C$45,MATCH($I1028,Legend!$B$41:$B$45,0)),""))</f>
        <v/>
      </c>
      <c r="K1028" s="19"/>
    </row>
    <row r="1029" ht="15.75" customHeight="1">
      <c r="A1029" s="18">
        <v>1025.0</v>
      </c>
      <c r="B1029" s="19" t="s">
        <v>965</v>
      </c>
      <c r="C1029" s="19" t="s">
        <v>2598</v>
      </c>
      <c r="D1029" s="19" t="s">
        <v>2603</v>
      </c>
      <c r="E1029" s="20" t="s">
        <v>33</v>
      </c>
      <c r="F1029" s="54" t="s">
        <v>46</v>
      </c>
      <c r="G1029" s="46" t="s">
        <v>50</v>
      </c>
      <c r="H1029" s="39" t="s">
        <v>2604</v>
      </c>
      <c r="I1029" s="19"/>
      <c r="J1029" s="19" t="str">
        <f t="array" ref="J1029">IF($I1029="","",IFERROR(INDEX(Legend!$C$41:$C$45,MATCH($I1029,Legend!$B$41:$B$45,0)),""))</f>
        <v/>
      </c>
      <c r="K1029" s="19"/>
    </row>
    <row r="1030" ht="15.75" customHeight="1">
      <c r="A1030" s="18">
        <v>1026.0</v>
      </c>
      <c r="B1030" s="19" t="s">
        <v>965</v>
      </c>
      <c r="C1030" s="19" t="s">
        <v>2598</v>
      </c>
      <c r="D1030" s="19" t="s">
        <v>2605</v>
      </c>
      <c r="E1030" s="53" t="s">
        <v>42</v>
      </c>
      <c r="F1030" s="54" t="s">
        <v>46</v>
      </c>
      <c r="G1030" s="61" t="s">
        <v>47</v>
      </c>
      <c r="H1030" s="39" t="s">
        <v>2606</v>
      </c>
      <c r="I1030" s="19"/>
      <c r="J1030" s="19" t="str">
        <f t="array" ref="J1030">IF($I1030="","",IFERROR(INDEX(Legend!$C$41:$C$45,MATCH($I1030,Legend!$B$41:$B$45,0)),""))</f>
        <v/>
      </c>
      <c r="K1030" s="19"/>
    </row>
    <row r="1031" ht="15.75" customHeight="1">
      <c r="A1031" s="18">
        <v>1027.0</v>
      </c>
      <c r="B1031" s="19" t="s">
        <v>971</v>
      </c>
      <c r="C1031" s="19"/>
      <c r="D1031" s="19" t="s">
        <v>2607</v>
      </c>
      <c r="E1031" s="53" t="s">
        <v>42</v>
      </c>
      <c r="F1031" s="48" t="s">
        <v>77</v>
      </c>
      <c r="G1031" s="46" t="s">
        <v>50</v>
      </c>
      <c r="H1031" s="39"/>
      <c r="I1031" s="19"/>
      <c r="J1031" s="19" t="str">
        <f t="array" ref="J1031">IF($I1031="","",IFERROR(INDEX(Legend!$C$41:$C$45,MATCH($I1031,Legend!$B$41:$B$45,0)),""))</f>
        <v/>
      </c>
      <c r="K1031" s="19"/>
    </row>
    <row r="1032" ht="15.75" customHeight="1">
      <c r="A1032" s="18">
        <v>1028.0</v>
      </c>
      <c r="B1032" s="19" t="s">
        <v>971</v>
      </c>
      <c r="C1032" s="19"/>
      <c r="D1032" s="19" t="s">
        <v>2608</v>
      </c>
      <c r="E1032" s="53" t="s">
        <v>42</v>
      </c>
      <c r="F1032" s="31" t="s">
        <v>34</v>
      </c>
      <c r="G1032" s="46" t="s">
        <v>50</v>
      </c>
      <c r="H1032" s="39"/>
      <c r="I1032" s="19"/>
      <c r="J1032" s="19" t="str">
        <f t="array" ref="J1032">IF($I1032="","",IFERROR(INDEX(Legend!$C$41:$C$45,MATCH($I1032,Legend!$B$41:$B$45,0)),""))</f>
        <v/>
      </c>
      <c r="K1032" s="19"/>
    </row>
    <row r="1033" ht="15.75" customHeight="1">
      <c r="A1033" s="18">
        <v>1029.0</v>
      </c>
      <c r="B1033" s="19" t="s">
        <v>971</v>
      </c>
      <c r="C1033" s="19"/>
      <c r="D1033" s="19" t="s">
        <v>2609</v>
      </c>
      <c r="E1033" s="53" t="s">
        <v>42</v>
      </c>
      <c r="F1033" s="48" t="s">
        <v>77</v>
      </c>
      <c r="G1033" s="37" t="s">
        <v>49</v>
      </c>
      <c r="H1033" s="39" t="s">
        <v>2610</v>
      </c>
      <c r="I1033" s="19"/>
      <c r="J1033" s="19" t="str">
        <f t="array" ref="J1033">IF($I1033="","",IFERROR(INDEX(Legend!$C$41:$C$45,MATCH($I1033,Legend!$B$41:$B$45,0)),""))</f>
        <v/>
      </c>
      <c r="K1033" s="19"/>
    </row>
    <row r="1034" ht="15.75" customHeight="1">
      <c r="A1034" s="18">
        <v>1030.0</v>
      </c>
      <c r="B1034" s="19" t="s">
        <v>971</v>
      </c>
      <c r="C1034" s="19"/>
      <c r="D1034" s="19" t="s">
        <v>2611</v>
      </c>
      <c r="E1034" s="53" t="s">
        <v>42</v>
      </c>
      <c r="F1034" s="31" t="s">
        <v>34</v>
      </c>
      <c r="G1034" s="37" t="s">
        <v>49</v>
      </c>
      <c r="H1034" s="39"/>
      <c r="I1034" s="19"/>
      <c r="J1034" s="19" t="str">
        <f t="array" ref="J1034">IF($I1034="","",IFERROR(INDEX(Legend!$C$41:$C$45,MATCH($I1034,Legend!$B$41:$B$45,0)),""))</f>
        <v/>
      </c>
      <c r="K1034" s="19"/>
    </row>
    <row r="1035" ht="15.75" customHeight="1">
      <c r="A1035" s="18">
        <v>1031.0</v>
      </c>
      <c r="B1035" s="19" t="s">
        <v>971</v>
      </c>
      <c r="C1035" s="19"/>
      <c r="D1035" s="19" t="s">
        <v>2612</v>
      </c>
      <c r="E1035" s="53" t="s">
        <v>42</v>
      </c>
      <c r="F1035" s="48" t="s">
        <v>77</v>
      </c>
      <c r="G1035" s="37" t="s">
        <v>49</v>
      </c>
      <c r="H1035" s="39" t="s">
        <v>2613</v>
      </c>
      <c r="I1035" s="19"/>
      <c r="J1035" s="19" t="str">
        <f t="array" ref="J1035">IF($I1035="","",IFERROR(INDEX(Legend!$C$41:$C$45,MATCH($I1035,Legend!$B$41:$B$45,0)),""))</f>
        <v/>
      </c>
      <c r="K1035" s="19"/>
    </row>
    <row r="1036" ht="15.75" customHeight="1">
      <c r="A1036" s="18">
        <v>1032.0</v>
      </c>
      <c r="B1036" s="19" t="s">
        <v>971</v>
      </c>
      <c r="C1036" s="19"/>
      <c r="D1036" s="19" t="s">
        <v>2614</v>
      </c>
      <c r="E1036" s="53" t="s">
        <v>42</v>
      </c>
      <c r="F1036" s="31" t="s">
        <v>34</v>
      </c>
      <c r="G1036" s="37" t="s">
        <v>49</v>
      </c>
      <c r="H1036" s="39" t="s">
        <v>2615</v>
      </c>
      <c r="I1036" s="19"/>
      <c r="J1036" s="19" t="str">
        <f t="array" ref="J1036">IF($I1036="","",IFERROR(INDEX(Legend!$C$41:$C$45,MATCH($I1036,Legend!$B$41:$B$45,0)),""))</f>
        <v/>
      </c>
      <c r="K1036" s="19"/>
    </row>
    <row r="1037" ht="15.75" customHeight="1">
      <c r="A1037" s="18">
        <v>1033.0</v>
      </c>
      <c r="B1037" s="19" t="s">
        <v>971</v>
      </c>
      <c r="C1037" s="19"/>
      <c r="D1037" s="19" t="s">
        <v>2616</v>
      </c>
      <c r="E1037" s="53" t="s">
        <v>42</v>
      </c>
      <c r="F1037" s="31" t="s">
        <v>34</v>
      </c>
      <c r="G1037" s="37" t="s">
        <v>49</v>
      </c>
      <c r="H1037" s="39" t="s">
        <v>2617</v>
      </c>
      <c r="I1037" s="19"/>
      <c r="J1037" s="19" t="str">
        <f t="array" ref="J1037">IF($I1037="","",IFERROR(INDEX(Legend!$C$41:$C$45,MATCH($I1037,Legend!$B$41:$B$45,0)),""))</f>
        <v/>
      </c>
      <c r="K1037" s="19"/>
    </row>
    <row r="1038" ht="15.75" customHeight="1">
      <c r="A1038" s="18">
        <v>1034.0</v>
      </c>
      <c r="B1038" s="19" t="s">
        <v>971</v>
      </c>
      <c r="C1038" s="19"/>
      <c r="D1038" s="19" t="s">
        <v>2618</v>
      </c>
      <c r="E1038" s="53" t="s">
        <v>42</v>
      </c>
      <c r="F1038" s="31" t="s">
        <v>34</v>
      </c>
      <c r="G1038" s="37" t="s">
        <v>49</v>
      </c>
      <c r="H1038" s="39"/>
      <c r="I1038" s="19"/>
      <c r="J1038" s="19" t="str">
        <f t="array" ref="J1038">IF($I1038="","",IFERROR(INDEX(Legend!$C$41:$C$45,MATCH($I1038,Legend!$B$41:$B$45,0)),""))</f>
        <v/>
      </c>
      <c r="K1038" s="19"/>
    </row>
    <row r="1039" ht="15.75" customHeight="1">
      <c r="A1039" s="18">
        <v>1035.0</v>
      </c>
      <c r="B1039" s="19" t="s">
        <v>971</v>
      </c>
      <c r="C1039" s="19"/>
      <c r="D1039" s="19" t="s">
        <v>2619</v>
      </c>
      <c r="E1039" s="53" t="s">
        <v>42</v>
      </c>
      <c r="F1039" s="31" t="s">
        <v>34</v>
      </c>
      <c r="G1039" s="37" t="s">
        <v>49</v>
      </c>
      <c r="H1039" s="39"/>
      <c r="I1039" s="19"/>
      <c r="J1039" s="19" t="str">
        <f t="array" ref="J1039">IF($I1039="","",IFERROR(INDEX(Legend!$C$41:$C$45,MATCH($I1039,Legend!$B$41:$B$45,0)),""))</f>
        <v/>
      </c>
      <c r="K1039" s="19"/>
    </row>
    <row r="1040" ht="15.75" customHeight="1">
      <c r="A1040" s="18">
        <v>1036.0</v>
      </c>
      <c r="B1040" s="19" t="s">
        <v>971</v>
      </c>
      <c r="C1040" s="19"/>
      <c r="D1040" s="19" t="s">
        <v>2620</v>
      </c>
      <c r="E1040" s="53" t="s">
        <v>42</v>
      </c>
      <c r="F1040" s="48" t="s">
        <v>77</v>
      </c>
      <c r="G1040" s="37" t="s">
        <v>49</v>
      </c>
      <c r="H1040" s="39" t="s">
        <v>2621</v>
      </c>
      <c r="I1040" s="19"/>
      <c r="J1040" s="19" t="str">
        <f t="array" ref="J1040">IF($I1040="","",IFERROR(INDEX(Legend!$C$41:$C$45,MATCH($I1040,Legend!$B$41:$B$45,0)),""))</f>
        <v/>
      </c>
      <c r="K1040" s="19"/>
    </row>
    <row r="1041" ht="15.75" customHeight="1">
      <c r="A1041" s="18">
        <v>1037.0</v>
      </c>
      <c r="B1041" s="19" t="s">
        <v>971</v>
      </c>
      <c r="C1041" s="19"/>
      <c r="D1041" s="19" t="s">
        <v>2622</v>
      </c>
      <c r="E1041" s="53" t="s">
        <v>42</v>
      </c>
      <c r="F1041" s="31" t="s">
        <v>34</v>
      </c>
      <c r="G1041" s="37" t="s">
        <v>49</v>
      </c>
      <c r="H1041" s="39"/>
      <c r="I1041" s="19"/>
      <c r="J1041" s="19" t="str">
        <f t="array" ref="J1041">IF($I1041="","",IFERROR(INDEX(Legend!$C$41:$C$45,MATCH($I1041,Legend!$B$41:$B$45,0)),""))</f>
        <v/>
      </c>
      <c r="K1041" s="19"/>
    </row>
    <row r="1042" ht="15.75" customHeight="1">
      <c r="A1042" s="18">
        <v>1038.0</v>
      </c>
      <c r="B1042" s="19" t="s">
        <v>971</v>
      </c>
      <c r="C1042" s="19"/>
      <c r="D1042" s="19" t="s">
        <v>2623</v>
      </c>
      <c r="E1042" s="53" t="s">
        <v>42</v>
      </c>
      <c r="F1042" s="31" t="s">
        <v>34</v>
      </c>
      <c r="G1042" s="46" t="s">
        <v>50</v>
      </c>
      <c r="H1042" s="39"/>
      <c r="I1042" s="19"/>
      <c r="J1042" s="19" t="str">
        <f t="array" ref="J1042">IF($I1042="","",IFERROR(INDEX(Legend!$C$41:$C$45,MATCH($I1042,Legend!$B$41:$B$45,0)),""))</f>
        <v/>
      </c>
      <c r="K1042" s="19"/>
    </row>
    <row r="1043" ht="15.75" customHeight="1">
      <c r="A1043" s="18">
        <v>1039.0</v>
      </c>
      <c r="B1043" s="19" t="s">
        <v>971</v>
      </c>
      <c r="C1043" s="19"/>
      <c r="D1043" s="19" t="s">
        <v>2624</v>
      </c>
      <c r="E1043" s="53" t="s">
        <v>42</v>
      </c>
      <c r="F1043" s="31" t="s">
        <v>34</v>
      </c>
      <c r="G1043" s="37" t="s">
        <v>49</v>
      </c>
      <c r="H1043" s="39"/>
      <c r="I1043" s="19"/>
      <c r="J1043" s="19" t="str">
        <f t="array" ref="J1043">IF($I1043="","",IFERROR(INDEX(Legend!$C$41:$C$45,MATCH($I1043,Legend!$B$41:$B$45,0)),""))</f>
        <v/>
      </c>
      <c r="K1043" s="19"/>
    </row>
    <row r="1044" ht="15.75" customHeight="1">
      <c r="A1044" s="18">
        <v>1040.0</v>
      </c>
      <c r="B1044" s="19" t="s">
        <v>971</v>
      </c>
      <c r="C1044" s="19"/>
      <c r="D1044" s="19" t="s">
        <v>2625</v>
      </c>
      <c r="E1044" s="53" t="s">
        <v>42</v>
      </c>
      <c r="F1044" s="31" t="s">
        <v>34</v>
      </c>
      <c r="G1044" s="37" t="s">
        <v>49</v>
      </c>
      <c r="H1044" s="39"/>
      <c r="I1044" s="19"/>
      <c r="J1044" s="19" t="str">
        <f t="array" ref="J1044">IF($I1044="","",IFERROR(INDEX(Legend!$C$41:$C$45,MATCH($I1044,Legend!$B$41:$B$45,0)),""))</f>
        <v/>
      </c>
      <c r="K1044" s="19"/>
    </row>
    <row r="1045" ht="15.75" customHeight="1">
      <c r="A1045" s="18">
        <v>1041.0</v>
      </c>
      <c r="B1045" s="19" t="s">
        <v>971</v>
      </c>
      <c r="C1045" s="19"/>
      <c r="D1045" s="19" t="s">
        <v>2626</v>
      </c>
      <c r="E1045" s="53" t="s">
        <v>42</v>
      </c>
      <c r="F1045" s="31" t="s">
        <v>34</v>
      </c>
      <c r="G1045" s="37" t="s">
        <v>49</v>
      </c>
      <c r="H1045" s="39"/>
      <c r="I1045" s="19"/>
      <c r="J1045" s="19" t="str">
        <f t="array" ref="J1045">IF($I1045="","",IFERROR(INDEX(Legend!$C$41:$C$45,MATCH($I1045,Legend!$B$41:$B$45,0)),""))</f>
        <v/>
      </c>
      <c r="K1045" s="19"/>
    </row>
    <row r="1046" ht="15.75" customHeight="1">
      <c r="A1046" s="18">
        <v>1042.0</v>
      </c>
      <c r="B1046" s="19" t="s">
        <v>971</v>
      </c>
      <c r="C1046" s="19"/>
      <c r="D1046" s="19" t="s">
        <v>2627</v>
      </c>
      <c r="E1046" s="53" t="s">
        <v>42</v>
      </c>
      <c r="F1046" s="31" t="s">
        <v>34</v>
      </c>
      <c r="G1046" s="37" t="s">
        <v>49</v>
      </c>
      <c r="H1046" s="39"/>
      <c r="I1046" s="19"/>
      <c r="J1046" s="19" t="str">
        <f t="array" ref="J1046">IF($I1046="","",IFERROR(INDEX(Legend!$C$41:$C$45,MATCH($I1046,Legend!$B$41:$B$45,0)),""))</f>
        <v/>
      </c>
      <c r="K1046" s="19"/>
    </row>
    <row r="1047" ht="15.75" customHeight="1">
      <c r="A1047" s="18">
        <v>1043.0</v>
      </c>
      <c r="B1047" s="19" t="s">
        <v>971</v>
      </c>
      <c r="C1047" s="19"/>
      <c r="D1047" s="19" t="s">
        <v>2628</v>
      </c>
      <c r="E1047" s="53" t="s">
        <v>42</v>
      </c>
      <c r="F1047" s="48" t="s">
        <v>77</v>
      </c>
      <c r="G1047" s="46" t="s">
        <v>50</v>
      </c>
      <c r="H1047" s="39"/>
      <c r="I1047" s="19"/>
      <c r="J1047" s="19" t="str">
        <f t="array" ref="J1047">IF($I1047="","",IFERROR(INDEX(Legend!$C$41:$C$45,MATCH($I1047,Legend!$B$41:$B$45,0)),""))</f>
        <v/>
      </c>
      <c r="K1047" s="19"/>
    </row>
    <row r="1048" ht="15.75" customHeight="1">
      <c r="A1048" s="18">
        <v>1044.0</v>
      </c>
      <c r="B1048" s="19" t="s">
        <v>971</v>
      </c>
      <c r="C1048" s="19"/>
      <c r="D1048" s="19" t="s">
        <v>2629</v>
      </c>
      <c r="E1048" s="53" t="s">
        <v>42</v>
      </c>
      <c r="F1048" s="31" t="s">
        <v>34</v>
      </c>
      <c r="G1048" s="46" t="s">
        <v>50</v>
      </c>
      <c r="H1048" s="39"/>
      <c r="I1048" s="19"/>
      <c r="J1048" s="19" t="str">
        <f t="array" ref="J1048">IF($I1048="","",IFERROR(INDEX(Legend!$C$41:$C$45,MATCH($I1048,Legend!$B$41:$B$45,0)),""))</f>
        <v/>
      </c>
      <c r="K1048" s="19"/>
    </row>
    <row r="1049" ht="15.75" customHeight="1">
      <c r="A1049" s="18">
        <v>1045.0</v>
      </c>
      <c r="B1049" s="19" t="s">
        <v>971</v>
      </c>
      <c r="C1049" s="19"/>
      <c r="D1049" s="19" t="s">
        <v>2630</v>
      </c>
      <c r="E1049" s="53" t="s">
        <v>42</v>
      </c>
      <c r="F1049" s="31" t="s">
        <v>34</v>
      </c>
      <c r="G1049" s="37" t="s">
        <v>49</v>
      </c>
      <c r="H1049" s="39"/>
      <c r="I1049" s="19"/>
      <c r="J1049" s="19" t="str">
        <f t="array" ref="J1049">IF($I1049="","",IFERROR(INDEX(Legend!$C$41:$C$45,MATCH($I1049,Legend!$B$41:$B$45,0)),""))</f>
        <v/>
      </c>
      <c r="K1049" s="19"/>
    </row>
    <row r="1050" ht="15.75" customHeight="1">
      <c r="A1050" s="18">
        <v>1046.0</v>
      </c>
      <c r="B1050" s="19" t="s">
        <v>971</v>
      </c>
      <c r="C1050" s="19"/>
      <c r="D1050" s="19" t="s">
        <v>2631</v>
      </c>
      <c r="E1050" s="53" t="s">
        <v>42</v>
      </c>
      <c r="F1050" s="31" t="s">
        <v>34</v>
      </c>
      <c r="G1050" s="37" t="s">
        <v>49</v>
      </c>
      <c r="H1050" s="39"/>
      <c r="I1050" s="19"/>
      <c r="J1050" s="19" t="str">
        <f t="array" ref="J1050">IF($I1050="","",IFERROR(INDEX(Legend!$C$41:$C$45,MATCH($I1050,Legend!$B$41:$B$45,0)),""))</f>
        <v/>
      </c>
      <c r="K1050" s="19"/>
    </row>
    <row r="1051" ht="15.75" customHeight="1">
      <c r="A1051" s="18">
        <v>1047.0</v>
      </c>
      <c r="B1051" s="19" t="s">
        <v>971</v>
      </c>
      <c r="C1051" s="19"/>
      <c r="D1051" s="19" t="s">
        <v>2632</v>
      </c>
      <c r="E1051" s="53" t="s">
        <v>42</v>
      </c>
      <c r="F1051" s="31" t="s">
        <v>34</v>
      </c>
      <c r="G1051" s="37" t="s">
        <v>49</v>
      </c>
      <c r="H1051" s="39"/>
      <c r="I1051" s="19"/>
      <c r="J1051" s="19" t="str">
        <f t="array" ref="J1051">IF($I1051="","",IFERROR(INDEX(Legend!$C$41:$C$45,MATCH($I1051,Legend!$B$41:$B$45,0)),""))</f>
        <v/>
      </c>
      <c r="K1051" s="19"/>
    </row>
    <row r="1052" ht="15.75" customHeight="1">
      <c r="A1052" s="18">
        <v>1048.0</v>
      </c>
      <c r="B1052" s="19" t="s">
        <v>971</v>
      </c>
      <c r="C1052" s="19"/>
      <c r="D1052" s="19" t="s">
        <v>2633</v>
      </c>
      <c r="E1052" s="53" t="s">
        <v>42</v>
      </c>
      <c r="F1052" s="31" t="s">
        <v>34</v>
      </c>
      <c r="G1052" s="37" t="s">
        <v>49</v>
      </c>
      <c r="H1052" s="39"/>
      <c r="I1052" s="19"/>
      <c r="J1052" s="19" t="str">
        <f t="array" ref="J1052">IF($I1052="","",IFERROR(INDEX(Legend!$C$41:$C$45,MATCH($I1052,Legend!$B$41:$B$45,0)),""))</f>
        <v/>
      </c>
      <c r="K1052" s="19"/>
    </row>
    <row r="1053" ht="15.75" customHeight="1">
      <c r="A1053" s="18">
        <v>1049.0</v>
      </c>
      <c r="B1053" s="19" t="s">
        <v>971</v>
      </c>
      <c r="C1053" s="19"/>
      <c r="D1053" s="19" t="s">
        <v>2634</v>
      </c>
      <c r="E1053" s="53" t="s">
        <v>42</v>
      </c>
      <c r="F1053" s="31" t="s">
        <v>34</v>
      </c>
      <c r="G1053" s="37" t="s">
        <v>49</v>
      </c>
      <c r="H1053" s="39"/>
      <c r="I1053" s="19"/>
      <c r="J1053" s="19" t="str">
        <f t="array" ref="J1053">IF($I1053="","",IFERROR(INDEX(Legend!$C$41:$C$45,MATCH($I1053,Legend!$B$41:$B$45,0)),""))</f>
        <v/>
      </c>
      <c r="K1053" s="19"/>
    </row>
    <row r="1054" ht="15.75" customHeight="1">
      <c r="A1054" s="18">
        <v>1050.0</v>
      </c>
      <c r="B1054" s="19" t="s">
        <v>971</v>
      </c>
      <c r="C1054" s="19"/>
      <c r="D1054" s="19" t="s">
        <v>2635</v>
      </c>
      <c r="E1054" s="53" t="s">
        <v>42</v>
      </c>
      <c r="F1054" s="54" t="s">
        <v>46</v>
      </c>
      <c r="G1054" s="61" t="s">
        <v>47</v>
      </c>
      <c r="H1054" s="39"/>
      <c r="I1054" s="19"/>
      <c r="J1054" s="19" t="str">
        <f t="array" ref="J1054">IF($I1054="","",IFERROR(INDEX(Legend!$C$41:$C$45,MATCH($I1054,Legend!$B$41:$B$45,0)),""))</f>
        <v/>
      </c>
      <c r="K1054" s="19"/>
    </row>
    <row r="1055" ht="15.75" customHeight="1">
      <c r="A1055" s="18">
        <v>1051.0</v>
      </c>
      <c r="B1055" s="19" t="s">
        <v>971</v>
      </c>
      <c r="C1055" s="19"/>
      <c r="D1055" s="19" t="s">
        <v>2636</v>
      </c>
      <c r="E1055" s="53" t="s">
        <v>42</v>
      </c>
      <c r="F1055" s="31" t="s">
        <v>34</v>
      </c>
      <c r="G1055" s="46" t="s">
        <v>50</v>
      </c>
      <c r="H1055" s="39"/>
      <c r="I1055" s="19"/>
      <c r="J1055" s="19" t="str">
        <f t="array" ref="J1055">IF($I1055="","",IFERROR(INDEX(Legend!$C$41:$C$45,MATCH($I1055,Legend!$B$41:$B$45,0)),""))</f>
        <v/>
      </c>
      <c r="K1055" s="19"/>
    </row>
    <row r="1056" ht="15.75" customHeight="1">
      <c r="A1056" s="18">
        <v>1052.0</v>
      </c>
      <c r="B1056" s="19" t="s">
        <v>971</v>
      </c>
      <c r="C1056" s="19"/>
      <c r="D1056" s="19" t="s">
        <v>2637</v>
      </c>
      <c r="E1056" s="53" t="s">
        <v>42</v>
      </c>
      <c r="F1056" s="31" t="s">
        <v>34</v>
      </c>
      <c r="G1056" s="37" t="s">
        <v>49</v>
      </c>
      <c r="H1056" s="39"/>
      <c r="I1056" s="19"/>
      <c r="J1056" s="19" t="str">
        <f t="array" ref="J1056">IF($I1056="","",IFERROR(INDEX(Legend!$C$41:$C$45,MATCH($I1056,Legend!$B$41:$B$45,0)),""))</f>
        <v/>
      </c>
      <c r="K1056" s="19"/>
    </row>
    <row r="1057" ht="15.75" customHeight="1">
      <c r="A1057" s="18">
        <v>1053.0</v>
      </c>
      <c r="B1057" s="19" t="s">
        <v>971</v>
      </c>
      <c r="C1057" s="19"/>
      <c r="D1057" s="19" t="s">
        <v>2638</v>
      </c>
      <c r="E1057" s="53" t="s">
        <v>42</v>
      </c>
      <c r="F1057" s="31" t="s">
        <v>34</v>
      </c>
      <c r="G1057" s="46" t="s">
        <v>50</v>
      </c>
      <c r="H1057" s="39"/>
      <c r="I1057" s="19"/>
      <c r="J1057" s="19" t="str">
        <f t="array" ref="J1057">IF($I1057="","",IFERROR(INDEX(Legend!$C$41:$C$45,MATCH($I1057,Legend!$B$41:$B$45,0)),""))</f>
        <v/>
      </c>
      <c r="K1057" s="19"/>
    </row>
    <row r="1058" ht="15.75" customHeight="1">
      <c r="A1058" s="18">
        <v>1054.0</v>
      </c>
      <c r="B1058" s="19" t="s">
        <v>971</v>
      </c>
      <c r="C1058" s="19"/>
      <c r="D1058" s="19" t="s">
        <v>2639</v>
      </c>
      <c r="E1058" s="53" t="s">
        <v>42</v>
      </c>
      <c r="F1058" s="48" t="s">
        <v>77</v>
      </c>
      <c r="G1058" s="37" t="s">
        <v>49</v>
      </c>
      <c r="H1058" s="39"/>
      <c r="I1058" s="19"/>
      <c r="J1058" s="19" t="str">
        <f t="array" ref="J1058">IF($I1058="","",IFERROR(INDEX(Legend!$C$41:$C$45,MATCH($I1058,Legend!$B$41:$B$45,0)),""))</f>
        <v/>
      </c>
      <c r="K1058" s="19"/>
    </row>
    <row r="1059" ht="15.75" customHeight="1">
      <c r="A1059" s="18">
        <v>1055.0</v>
      </c>
      <c r="B1059" s="19" t="s">
        <v>971</v>
      </c>
      <c r="C1059" s="19" t="s">
        <v>2640</v>
      </c>
      <c r="D1059" s="19" t="s">
        <v>2641</v>
      </c>
      <c r="E1059" s="53" t="s">
        <v>42</v>
      </c>
      <c r="F1059" s="48" t="s">
        <v>77</v>
      </c>
      <c r="G1059" s="46" t="s">
        <v>50</v>
      </c>
      <c r="H1059" s="39" t="s">
        <v>2642</v>
      </c>
      <c r="I1059" s="19"/>
      <c r="J1059" s="19" t="str">
        <f t="array" ref="J1059">IF($I1059="","",IFERROR(INDEX(Legend!$C$41:$C$45,MATCH($I1059,Legend!$B$41:$B$45,0)),""))</f>
        <v/>
      </c>
      <c r="K1059" s="19"/>
    </row>
    <row r="1060" ht="15.75" customHeight="1">
      <c r="A1060" s="18">
        <v>1056.0</v>
      </c>
      <c r="B1060" s="19" t="s">
        <v>971</v>
      </c>
      <c r="C1060" s="19" t="s">
        <v>2640</v>
      </c>
      <c r="D1060" s="19" t="s">
        <v>2643</v>
      </c>
      <c r="E1060" s="53" t="s">
        <v>42</v>
      </c>
      <c r="F1060" s="54" t="s">
        <v>46</v>
      </c>
      <c r="G1060" s="46" t="s">
        <v>50</v>
      </c>
      <c r="H1060" s="39" t="s">
        <v>2644</v>
      </c>
      <c r="I1060" s="19"/>
      <c r="J1060" s="19" t="str">
        <f t="array" ref="J1060">IF($I1060="","",IFERROR(INDEX(Legend!$C$41:$C$45,MATCH($I1060,Legend!$B$41:$B$45,0)),""))</f>
        <v/>
      </c>
      <c r="K1060" s="19"/>
    </row>
    <row r="1061" ht="15.75" customHeight="1">
      <c r="A1061" s="18">
        <v>1057.0</v>
      </c>
      <c r="B1061" s="19" t="s">
        <v>982</v>
      </c>
      <c r="C1061" s="19"/>
      <c r="D1061" s="19" t="s">
        <v>2645</v>
      </c>
      <c r="E1061" s="53" t="s">
        <v>42</v>
      </c>
      <c r="F1061" s="48" t="s">
        <v>77</v>
      </c>
      <c r="G1061" s="37" t="s">
        <v>49</v>
      </c>
      <c r="H1061" s="39"/>
      <c r="I1061" s="19"/>
      <c r="J1061" s="19" t="str">
        <f t="array" ref="J1061">IF($I1061="","",IFERROR(INDEX(Legend!$C$41:$C$45,MATCH($I1061,Legend!$B$41:$B$45,0)),""))</f>
        <v/>
      </c>
      <c r="K1061" s="19"/>
    </row>
    <row r="1062" ht="15.75" customHeight="1">
      <c r="A1062" s="18">
        <v>1058.0</v>
      </c>
      <c r="B1062" s="19" t="s">
        <v>982</v>
      </c>
      <c r="C1062" s="19"/>
      <c r="D1062" s="19" t="s">
        <v>2646</v>
      </c>
      <c r="E1062" s="53" t="s">
        <v>42</v>
      </c>
      <c r="F1062" s="48" t="s">
        <v>77</v>
      </c>
      <c r="G1062" s="37" t="s">
        <v>49</v>
      </c>
      <c r="H1062" s="39" t="s">
        <v>2647</v>
      </c>
      <c r="I1062" s="19"/>
      <c r="J1062" s="19" t="str">
        <f t="array" ref="J1062">IF($I1062="","",IFERROR(INDEX(Legend!$C$41:$C$45,MATCH($I1062,Legend!$B$41:$B$45,0)),""))</f>
        <v/>
      </c>
      <c r="K1062" s="19"/>
    </row>
    <row r="1063" ht="15.75" customHeight="1">
      <c r="A1063" s="18">
        <v>1059.0</v>
      </c>
      <c r="B1063" s="19" t="s">
        <v>982</v>
      </c>
      <c r="C1063" s="19"/>
      <c r="D1063" s="19" t="s">
        <v>2648</v>
      </c>
      <c r="E1063" s="53" t="s">
        <v>42</v>
      </c>
      <c r="F1063" s="31" t="s">
        <v>34</v>
      </c>
      <c r="G1063" s="37" t="s">
        <v>49</v>
      </c>
      <c r="H1063" s="39"/>
      <c r="I1063" s="19"/>
      <c r="J1063" s="19" t="str">
        <f t="array" ref="J1063">IF($I1063="","",IFERROR(INDEX(Legend!$C$41:$C$45,MATCH($I1063,Legend!$B$41:$B$45,0)),""))</f>
        <v/>
      </c>
      <c r="K1063" s="19"/>
    </row>
    <row r="1064" ht="15.75" customHeight="1">
      <c r="A1064" s="18">
        <v>1060.0</v>
      </c>
      <c r="B1064" s="19" t="s">
        <v>982</v>
      </c>
      <c r="C1064" s="19"/>
      <c r="D1064" s="19" t="s">
        <v>2649</v>
      </c>
      <c r="E1064" s="53" t="s">
        <v>42</v>
      </c>
      <c r="F1064" s="31" t="s">
        <v>34</v>
      </c>
      <c r="G1064" s="37" t="s">
        <v>49</v>
      </c>
      <c r="H1064" s="39"/>
      <c r="I1064" s="19"/>
      <c r="J1064" s="19" t="str">
        <f t="array" ref="J1064">IF($I1064="","",IFERROR(INDEX(Legend!$C$41:$C$45,MATCH($I1064,Legend!$B$41:$B$45,0)),""))</f>
        <v/>
      </c>
      <c r="K1064" s="19"/>
    </row>
    <row r="1065" ht="15.75" customHeight="1">
      <c r="A1065" s="18">
        <v>1061.0</v>
      </c>
      <c r="B1065" s="19" t="s">
        <v>982</v>
      </c>
      <c r="C1065" s="19"/>
      <c r="D1065" s="19" t="s">
        <v>2650</v>
      </c>
      <c r="E1065" s="53" t="s">
        <v>42</v>
      </c>
      <c r="F1065" s="31" t="s">
        <v>34</v>
      </c>
      <c r="G1065" s="37" t="s">
        <v>49</v>
      </c>
      <c r="H1065" s="39"/>
      <c r="I1065" s="19"/>
      <c r="J1065" s="19" t="str">
        <f t="array" ref="J1065">IF($I1065="","",IFERROR(INDEX(Legend!$C$41:$C$45,MATCH($I1065,Legend!$B$41:$B$45,0)),""))</f>
        <v/>
      </c>
      <c r="K1065" s="19"/>
    </row>
    <row r="1066" ht="15.75" customHeight="1">
      <c r="A1066" s="18">
        <v>1062.0</v>
      </c>
      <c r="B1066" s="19" t="s">
        <v>982</v>
      </c>
      <c r="C1066" s="19"/>
      <c r="D1066" s="19" t="s">
        <v>2651</v>
      </c>
      <c r="E1066" s="53" t="s">
        <v>42</v>
      </c>
      <c r="F1066" s="31" t="s">
        <v>34</v>
      </c>
      <c r="G1066" s="37" t="s">
        <v>49</v>
      </c>
      <c r="H1066" s="39"/>
      <c r="I1066" s="19"/>
      <c r="J1066" s="19" t="str">
        <f t="array" ref="J1066">IF($I1066="","",IFERROR(INDEX(Legend!$C$41:$C$45,MATCH($I1066,Legend!$B$41:$B$45,0)),""))</f>
        <v/>
      </c>
      <c r="K1066" s="19"/>
    </row>
    <row r="1067" ht="15.75" customHeight="1">
      <c r="A1067" s="18">
        <v>1063.0</v>
      </c>
      <c r="B1067" s="19" t="s">
        <v>982</v>
      </c>
      <c r="C1067" s="19"/>
      <c r="D1067" s="19" t="s">
        <v>2652</v>
      </c>
      <c r="E1067" s="53" t="s">
        <v>42</v>
      </c>
      <c r="F1067" s="48" t="s">
        <v>77</v>
      </c>
      <c r="G1067" s="37" t="s">
        <v>49</v>
      </c>
      <c r="H1067" s="39"/>
      <c r="I1067" s="19"/>
      <c r="J1067" s="19" t="str">
        <f t="array" ref="J1067">IF($I1067="","",IFERROR(INDEX(Legend!$C$41:$C$45,MATCH($I1067,Legend!$B$41:$B$45,0)),""))</f>
        <v/>
      </c>
      <c r="K1067" s="19"/>
    </row>
    <row r="1068" ht="15.75" customHeight="1">
      <c r="A1068" s="18">
        <v>1064.0</v>
      </c>
      <c r="B1068" s="19" t="s">
        <v>982</v>
      </c>
      <c r="C1068" s="19"/>
      <c r="D1068" s="19" t="s">
        <v>2653</v>
      </c>
      <c r="E1068" s="53" t="s">
        <v>42</v>
      </c>
      <c r="F1068" s="31" t="s">
        <v>34</v>
      </c>
      <c r="G1068" s="46" t="s">
        <v>50</v>
      </c>
      <c r="H1068" s="39"/>
      <c r="I1068" s="19"/>
      <c r="J1068" s="19" t="str">
        <f t="array" ref="J1068">IF($I1068="","",IFERROR(INDEX(Legend!$C$41:$C$45,MATCH($I1068,Legend!$B$41:$B$45,0)),""))</f>
        <v/>
      </c>
      <c r="K1068" s="19"/>
    </row>
    <row r="1069" ht="15.75" customHeight="1">
      <c r="A1069" s="18">
        <v>1065.0</v>
      </c>
      <c r="B1069" s="19" t="s">
        <v>982</v>
      </c>
      <c r="C1069" s="19"/>
      <c r="D1069" s="19" t="s">
        <v>2654</v>
      </c>
      <c r="E1069" s="53" t="s">
        <v>42</v>
      </c>
      <c r="F1069" s="31" t="s">
        <v>34</v>
      </c>
      <c r="G1069" s="37" t="s">
        <v>49</v>
      </c>
      <c r="H1069" s="39" t="s">
        <v>2655</v>
      </c>
      <c r="I1069" s="19"/>
      <c r="J1069" s="19" t="str">
        <f t="array" ref="J1069">IF($I1069="","",IFERROR(INDEX(Legend!$C$41:$C$45,MATCH($I1069,Legend!$B$41:$B$45,0)),""))</f>
        <v/>
      </c>
      <c r="K1069" s="19"/>
    </row>
    <row r="1070" ht="15.75" customHeight="1">
      <c r="A1070" s="18">
        <v>1066.0</v>
      </c>
      <c r="B1070" s="19" t="s">
        <v>982</v>
      </c>
      <c r="C1070" s="19"/>
      <c r="D1070" s="19" t="s">
        <v>2656</v>
      </c>
      <c r="E1070" s="53" t="s">
        <v>42</v>
      </c>
      <c r="F1070" s="48" t="s">
        <v>77</v>
      </c>
      <c r="G1070" s="37" t="s">
        <v>49</v>
      </c>
      <c r="H1070" s="39" t="s">
        <v>2657</v>
      </c>
      <c r="I1070" s="19"/>
      <c r="J1070" s="19" t="str">
        <f t="array" ref="J1070">IF($I1070="","",IFERROR(INDEX(Legend!$C$41:$C$45,MATCH($I1070,Legend!$B$41:$B$45,0)),""))</f>
        <v/>
      </c>
      <c r="K1070" s="19"/>
    </row>
    <row r="1071" ht="15.75" customHeight="1">
      <c r="A1071" s="18">
        <v>1067.0</v>
      </c>
      <c r="B1071" s="19" t="s">
        <v>982</v>
      </c>
      <c r="C1071" s="19"/>
      <c r="D1071" s="19" t="s">
        <v>2658</v>
      </c>
      <c r="E1071" s="53" t="s">
        <v>42</v>
      </c>
      <c r="F1071" s="31" t="s">
        <v>34</v>
      </c>
      <c r="G1071" s="37" t="s">
        <v>49</v>
      </c>
      <c r="H1071" s="39"/>
      <c r="I1071" s="19"/>
      <c r="J1071" s="19" t="str">
        <f t="array" ref="J1071">IF($I1071="","",IFERROR(INDEX(Legend!$C$41:$C$45,MATCH($I1071,Legend!$B$41:$B$45,0)),""))</f>
        <v/>
      </c>
      <c r="K1071" s="19"/>
    </row>
    <row r="1072" ht="15.75" customHeight="1">
      <c r="A1072" s="18">
        <v>1068.0</v>
      </c>
      <c r="B1072" s="19" t="s">
        <v>982</v>
      </c>
      <c r="C1072" s="19"/>
      <c r="D1072" s="19" t="s">
        <v>2659</v>
      </c>
      <c r="E1072" s="53" t="s">
        <v>42</v>
      </c>
      <c r="F1072" s="48" t="s">
        <v>77</v>
      </c>
      <c r="G1072" s="37" t="s">
        <v>49</v>
      </c>
      <c r="H1072" s="39"/>
      <c r="I1072" s="19"/>
      <c r="J1072" s="19" t="str">
        <f t="array" ref="J1072">IF($I1072="","",IFERROR(INDEX(Legend!$C$41:$C$45,MATCH($I1072,Legend!$B$41:$B$45,0)),""))</f>
        <v/>
      </c>
      <c r="K1072" s="19"/>
    </row>
    <row r="1073" ht="15.75" customHeight="1">
      <c r="A1073" s="18">
        <v>1069.0</v>
      </c>
      <c r="B1073" s="19" t="s">
        <v>982</v>
      </c>
      <c r="C1073" s="19"/>
      <c r="D1073" s="19" t="s">
        <v>2660</v>
      </c>
      <c r="E1073" s="53" t="s">
        <v>42</v>
      </c>
      <c r="F1073" s="31" t="s">
        <v>34</v>
      </c>
      <c r="G1073" s="37" t="s">
        <v>49</v>
      </c>
      <c r="H1073" s="39"/>
      <c r="I1073" s="19"/>
      <c r="J1073" s="19" t="str">
        <f t="array" ref="J1073">IF($I1073="","",IFERROR(INDEX(Legend!$C$41:$C$45,MATCH($I1073,Legend!$B$41:$B$45,0)),""))</f>
        <v/>
      </c>
      <c r="K1073" s="19"/>
    </row>
    <row r="1074" ht="15.75" customHeight="1">
      <c r="A1074" s="18">
        <v>1070.0</v>
      </c>
      <c r="B1074" s="19" t="s">
        <v>982</v>
      </c>
      <c r="C1074" s="19"/>
      <c r="D1074" s="19" t="s">
        <v>2661</v>
      </c>
      <c r="E1074" s="53" t="s">
        <v>42</v>
      </c>
      <c r="F1074" s="31" t="s">
        <v>34</v>
      </c>
      <c r="G1074" s="37" t="s">
        <v>49</v>
      </c>
      <c r="H1074" s="39"/>
      <c r="I1074" s="19"/>
      <c r="J1074" s="19" t="str">
        <f t="array" ref="J1074">IF($I1074="","",IFERROR(INDEX(Legend!$C$41:$C$45,MATCH($I1074,Legend!$B$41:$B$45,0)),""))</f>
        <v/>
      </c>
      <c r="K1074" s="19"/>
    </row>
    <row r="1075" ht="15.75" customHeight="1">
      <c r="A1075" s="18">
        <v>1071.0</v>
      </c>
      <c r="B1075" s="19" t="s">
        <v>982</v>
      </c>
      <c r="C1075" s="19"/>
      <c r="D1075" s="19" t="s">
        <v>2662</v>
      </c>
      <c r="E1075" s="53" t="s">
        <v>42</v>
      </c>
      <c r="F1075" s="31" t="s">
        <v>34</v>
      </c>
      <c r="G1075" s="46" t="s">
        <v>50</v>
      </c>
      <c r="H1075" s="39"/>
      <c r="I1075" s="19"/>
      <c r="J1075" s="19" t="str">
        <f t="array" ref="J1075">IF($I1075="","",IFERROR(INDEX(Legend!$C$41:$C$45,MATCH($I1075,Legend!$B$41:$B$45,0)),""))</f>
        <v/>
      </c>
      <c r="K1075" s="19"/>
    </row>
    <row r="1076" ht="15.75" customHeight="1">
      <c r="A1076" s="18">
        <v>1072.0</v>
      </c>
      <c r="B1076" s="19" t="s">
        <v>982</v>
      </c>
      <c r="C1076" s="19"/>
      <c r="D1076" s="19" t="s">
        <v>2663</v>
      </c>
      <c r="E1076" s="53" t="s">
        <v>42</v>
      </c>
      <c r="F1076" s="31" t="s">
        <v>34</v>
      </c>
      <c r="G1076" s="37" t="s">
        <v>49</v>
      </c>
      <c r="H1076" s="39" t="s">
        <v>2664</v>
      </c>
      <c r="I1076" s="19"/>
      <c r="J1076" s="19" t="str">
        <f t="array" ref="J1076">IF($I1076="","",IFERROR(INDEX(Legend!$C$41:$C$45,MATCH($I1076,Legend!$B$41:$B$45,0)),""))</f>
        <v/>
      </c>
      <c r="K1076" s="19"/>
    </row>
    <row r="1077" ht="15.75" customHeight="1">
      <c r="A1077" s="18">
        <v>1073.0</v>
      </c>
      <c r="B1077" s="19" t="s">
        <v>982</v>
      </c>
      <c r="C1077" s="19"/>
      <c r="D1077" s="19" t="s">
        <v>2665</v>
      </c>
      <c r="E1077" s="53" t="s">
        <v>42</v>
      </c>
      <c r="F1077" s="31" t="s">
        <v>34</v>
      </c>
      <c r="G1077" s="37" t="s">
        <v>49</v>
      </c>
      <c r="H1077" s="39"/>
      <c r="I1077" s="19"/>
      <c r="J1077" s="19" t="str">
        <f t="array" ref="J1077">IF($I1077="","",IFERROR(INDEX(Legend!$C$41:$C$45,MATCH($I1077,Legend!$B$41:$B$45,0)),""))</f>
        <v/>
      </c>
      <c r="K1077" s="19"/>
    </row>
    <row r="1078" ht="15.75" customHeight="1">
      <c r="A1078" s="18">
        <v>1074.0</v>
      </c>
      <c r="B1078" s="19" t="s">
        <v>982</v>
      </c>
      <c r="C1078" s="19"/>
      <c r="D1078" s="19" t="s">
        <v>2666</v>
      </c>
      <c r="E1078" s="53" t="s">
        <v>42</v>
      </c>
      <c r="F1078" s="31" t="s">
        <v>34</v>
      </c>
      <c r="G1078" s="37" t="s">
        <v>49</v>
      </c>
      <c r="H1078" s="39" t="s">
        <v>2667</v>
      </c>
      <c r="I1078" s="19"/>
      <c r="J1078" s="19" t="str">
        <f t="array" ref="J1078">IF($I1078="","",IFERROR(INDEX(Legend!$C$41:$C$45,MATCH($I1078,Legend!$B$41:$B$45,0)),""))</f>
        <v/>
      </c>
      <c r="K1078" s="19"/>
    </row>
    <row r="1079" ht="15.75" customHeight="1">
      <c r="A1079" s="18">
        <v>1075.0</v>
      </c>
      <c r="B1079" s="19" t="s">
        <v>982</v>
      </c>
      <c r="C1079" s="19"/>
      <c r="D1079" s="19" t="s">
        <v>2668</v>
      </c>
      <c r="E1079" s="53" t="s">
        <v>42</v>
      </c>
      <c r="F1079" s="48" t="s">
        <v>77</v>
      </c>
      <c r="G1079" s="46" t="s">
        <v>50</v>
      </c>
      <c r="H1079" s="39"/>
      <c r="I1079" s="19"/>
      <c r="J1079" s="19" t="str">
        <f t="array" ref="J1079">IF($I1079="","",IFERROR(INDEX(Legend!$C$41:$C$45,MATCH($I1079,Legend!$B$41:$B$45,0)),""))</f>
        <v/>
      </c>
      <c r="K1079" s="19"/>
    </row>
    <row r="1080" ht="15.75" customHeight="1">
      <c r="A1080" s="18">
        <v>1076.0</v>
      </c>
      <c r="B1080" s="19" t="s">
        <v>982</v>
      </c>
      <c r="C1080" s="19"/>
      <c r="D1080" s="19" t="s">
        <v>2669</v>
      </c>
      <c r="E1080" s="53" t="s">
        <v>42</v>
      </c>
      <c r="F1080" s="48" t="s">
        <v>77</v>
      </c>
      <c r="G1080" s="37" t="s">
        <v>49</v>
      </c>
      <c r="H1080" s="39"/>
      <c r="I1080" s="19"/>
      <c r="J1080" s="19" t="str">
        <f t="array" ref="J1080">IF($I1080="","",IFERROR(INDEX(Legend!$C$41:$C$45,MATCH($I1080,Legend!$B$41:$B$45,0)),""))</f>
        <v/>
      </c>
      <c r="K1080" s="19"/>
    </row>
    <row r="1081" ht="15.75" customHeight="1">
      <c r="A1081" s="18">
        <v>1077.0</v>
      </c>
      <c r="B1081" s="19" t="s">
        <v>982</v>
      </c>
      <c r="C1081" s="19"/>
      <c r="D1081" s="19" t="s">
        <v>2670</v>
      </c>
      <c r="E1081" s="53" t="s">
        <v>42</v>
      </c>
      <c r="F1081" s="31" t="s">
        <v>34</v>
      </c>
      <c r="G1081" s="37" t="s">
        <v>49</v>
      </c>
      <c r="H1081" s="39"/>
      <c r="I1081" s="19"/>
      <c r="J1081" s="19" t="str">
        <f t="array" ref="J1081">IF($I1081="","",IFERROR(INDEX(Legend!$C$41:$C$45,MATCH($I1081,Legend!$B$41:$B$45,0)),""))</f>
        <v/>
      </c>
      <c r="K1081" s="19"/>
    </row>
    <row r="1082" ht="15.75" customHeight="1">
      <c r="A1082" s="18">
        <v>1078.0</v>
      </c>
      <c r="B1082" s="19" t="s">
        <v>982</v>
      </c>
      <c r="C1082" s="19"/>
      <c r="D1082" s="19" t="s">
        <v>2671</v>
      </c>
      <c r="E1082" s="53" t="s">
        <v>42</v>
      </c>
      <c r="F1082" s="31" t="s">
        <v>34</v>
      </c>
      <c r="G1082" s="46" t="s">
        <v>50</v>
      </c>
      <c r="H1082" s="39"/>
      <c r="I1082" s="19"/>
      <c r="J1082" s="19" t="str">
        <f t="array" ref="J1082">IF($I1082="","",IFERROR(INDEX(Legend!$C$41:$C$45,MATCH($I1082,Legend!$B$41:$B$45,0)),""))</f>
        <v/>
      </c>
      <c r="K1082" s="19"/>
    </row>
    <row r="1083" ht="15.75" customHeight="1">
      <c r="A1083" s="18">
        <v>1079.0</v>
      </c>
      <c r="B1083" s="19" t="s">
        <v>982</v>
      </c>
      <c r="C1083" s="19"/>
      <c r="D1083" s="19" t="s">
        <v>2672</v>
      </c>
      <c r="E1083" s="53" t="s">
        <v>42</v>
      </c>
      <c r="F1083" s="31" t="s">
        <v>34</v>
      </c>
      <c r="G1083" s="46" t="s">
        <v>50</v>
      </c>
      <c r="H1083" s="39"/>
      <c r="I1083" s="19"/>
      <c r="J1083" s="19" t="str">
        <f t="array" ref="J1083">IF($I1083="","",IFERROR(INDEX(Legend!$C$41:$C$45,MATCH($I1083,Legend!$B$41:$B$45,0)),""))</f>
        <v/>
      </c>
      <c r="K1083" s="19"/>
    </row>
    <row r="1084" ht="15.75" customHeight="1">
      <c r="A1084" s="18">
        <v>1080.0</v>
      </c>
      <c r="B1084" s="19" t="s">
        <v>982</v>
      </c>
      <c r="C1084" s="19"/>
      <c r="D1084" s="19" t="s">
        <v>2673</v>
      </c>
      <c r="E1084" s="53" t="s">
        <v>42</v>
      </c>
      <c r="F1084" s="31" t="s">
        <v>34</v>
      </c>
      <c r="G1084" s="37" t="s">
        <v>49</v>
      </c>
      <c r="H1084" s="39"/>
      <c r="I1084" s="19"/>
      <c r="J1084" s="19" t="str">
        <f t="array" ref="J1084">IF($I1084="","",IFERROR(INDEX(Legend!$C$41:$C$45,MATCH($I1084,Legend!$B$41:$B$45,0)),""))</f>
        <v/>
      </c>
      <c r="K1084" s="19"/>
    </row>
    <row r="1085" ht="15.75" customHeight="1">
      <c r="A1085" s="18">
        <v>1081.0</v>
      </c>
      <c r="B1085" s="19" t="s">
        <v>982</v>
      </c>
      <c r="C1085" s="19"/>
      <c r="D1085" s="19" t="s">
        <v>2674</v>
      </c>
      <c r="E1085" s="48" t="s">
        <v>43</v>
      </c>
      <c r="F1085" s="54" t="s">
        <v>46</v>
      </c>
      <c r="G1085" s="61" t="s">
        <v>47</v>
      </c>
      <c r="H1085" s="39" t="s">
        <v>488</v>
      </c>
      <c r="I1085" s="19"/>
      <c r="J1085" s="19" t="str">
        <f t="array" ref="J1085">IF($I1085="","",IFERROR(INDEX(Legend!$C$41:$C$45,MATCH($I1085,Legend!$B$41:$B$45,0)),""))</f>
        <v/>
      </c>
      <c r="K1085" s="19"/>
    </row>
    <row r="1086" ht="15.75" customHeight="1">
      <c r="A1086" s="18">
        <v>1082.0</v>
      </c>
      <c r="B1086" s="19" t="s">
        <v>982</v>
      </c>
      <c r="C1086" s="19" t="s">
        <v>2675</v>
      </c>
      <c r="D1086" s="19" t="s">
        <v>2676</v>
      </c>
      <c r="E1086" s="53" t="s">
        <v>42</v>
      </c>
      <c r="F1086" s="54" t="s">
        <v>46</v>
      </c>
      <c r="G1086" s="46" t="s">
        <v>50</v>
      </c>
      <c r="H1086" s="39" t="s">
        <v>2677</v>
      </c>
      <c r="I1086" s="19"/>
      <c r="J1086" s="19" t="str">
        <f t="array" ref="J1086">IF($I1086="","",IFERROR(INDEX(Legend!$C$41:$C$45,MATCH($I1086,Legend!$B$41:$B$45,0)),""))</f>
        <v/>
      </c>
      <c r="K1086" s="19"/>
    </row>
    <row r="1087" ht="15.75" customHeight="1">
      <c r="A1087" s="18">
        <v>1083.0</v>
      </c>
      <c r="B1087" s="19" t="s">
        <v>982</v>
      </c>
      <c r="C1087" s="19" t="s">
        <v>2675</v>
      </c>
      <c r="D1087" s="19" t="s">
        <v>2678</v>
      </c>
      <c r="E1087" s="53" t="s">
        <v>42</v>
      </c>
      <c r="F1087" s="48" t="s">
        <v>77</v>
      </c>
      <c r="G1087" s="37" t="s">
        <v>49</v>
      </c>
      <c r="H1087" s="39" t="s">
        <v>2679</v>
      </c>
      <c r="I1087" s="19"/>
      <c r="J1087" s="19" t="str">
        <f t="array" ref="J1087">IF($I1087="","",IFERROR(INDEX(Legend!$C$41:$C$45,MATCH($I1087,Legend!$B$41:$B$45,0)),""))</f>
        <v/>
      </c>
      <c r="K1087" s="19"/>
    </row>
    <row r="1088" ht="15.75" customHeight="1">
      <c r="A1088" s="18">
        <v>1084.0</v>
      </c>
      <c r="B1088" s="19" t="s">
        <v>982</v>
      </c>
      <c r="C1088" s="19" t="s">
        <v>2675</v>
      </c>
      <c r="D1088" s="19" t="s">
        <v>2680</v>
      </c>
      <c r="E1088" s="53" t="s">
        <v>42</v>
      </c>
      <c r="F1088" s="31" t="s">
        <v>34</v>
      </c>
      <c r="G1088" s="37" t="s">
        <v>49</v>
      </c>
      <c r="H1088" s="39" t="s">
        <v>2681</v>
      </c>
      <c r="I1088" s="19"/>
      <c r="J1088" s="19" t="str">
        <f t="array" ref="J1088">IF($I1088="","",IFERROR(INDEX(Legend!$C$41:$C$45,MATCH($I1088,Legend!$B$41:$B$45,0)),""))</f>
        <v/>
      </c>
      <c r="K1088" s="19"/>
    </row>
    <row r="1089" ht="15.75" customHeight="1">
      <c r="A1089" s="18">
        <v>1085.0</v>
      </c>
      <c r="B1089" s="19" t="s">
        <v>982</v>
      </c>
      <c r="C1089" s="19" t="s">
        <v>2675</v>
      </c>
      <c r="D1089" s="19" t="s">
        <v>2682</v>
      </c>
      <c r="E1089" s="53" t="s">
        <v>42</v>
      </c>
      <c r="F1089" s="31" t="s">
        <v>34</v>
      </c>
      <c r="G1089" s="37" t="s">
        <v>49</v>
      </c>
      <c r="H1089" s="39" t="s">
        <v>2683</v>
      </c>
      <c r="I1089" s="19"/>
      <c r="J1089" s="19" t="str">
        <f t="array" ref="J1089">IF($I1089="","",IFERROR(INDEX(Legend!$C$41:$C$45,MATCH($I1089,Legend!$B$41:$B$45,0)),""))</f>
        <v/>
      </c>
      <c r="K1089" s="19"/>
    </row>
    <row r="1090" ht="15.75" customHeight="1">
      <c r="A1090" s="18">
        <v>1086.0</v>
      </c>
      <c r="B1090" s="19" t="s">
        <v>982</v>
      </c>
      <c r="C1090" s="19" t="s">
        <v>2675</v>
      </c>
      <c r="D1090" s="19" t="s">
        <v>2684</v>
      </c>
      <c r="E1090" s="53" t="s">
        <v>42</v>
      </c>
      <c r="F1090" s="31" t="s">
        <v>34</v>
      </c>
      <c r="G1090" s="46" t="s">
        <v>50</v>
      </c>
      <c r="H1090" s="39" t="s">
        <v>2685</v>
      </c>
      <c r="I1090" s="19"/>
      <c r="J1090" s="19" t="str">
        <f t="array" ref="J1090">IF($I1090="","",IFERROR(INDEX(Legend!$C$41:$C$45,MATCH($I1090,Legend!$B$41:$B$45,0)),""))</f>
        <v/>
      </c>
      <c r="K1090" s="19"/>
    </row>
    <row r="1091" ht="15.75" customHeight="1">
      <c r="A1091" s="18">
        <v>1087.0</v>
      </c>
      <c r="B1091" s="19" t="s">
        <v>989</v>
      </c>
      <c r="C1091" s="19"/>
      <c r="D1091" s="19" t="s">
        <v>2686</v>
      </c>
      <c r="E1091" s="53" t="s">
        <v>42</v>
      </c>
      <c r="F1091" s="48" t="s">
        <v>77</v>
      </c>
      <c r="G1091" s="37" t="s">
        <v>49</v>
      </c>
      <c r="H1091" s="39" t="s">
        <v>2687</v>
      </c>
      <c r="I1091" s="19"/>
      <c r="J1091" s="19" t="str">
        <f t="array" ref="J1091">IF($I1091="","",IFERROR(INDEX(Legend!$C$41:$C$45,MATCH($I1091,Legend!$B$41:$B$45,0)),""))</f>
        <v/>
      </c>
      <c r="K1091" s="19"/>
    </row>
    <row r="1092" ht="15.75" customHeight="1">
      <c r="A1092" s="18">
        <v>1088.0</v>
      </c>
      <c r="B1092" s="19" t="s">
        <v>989</v>
      </c>
      <c r="C1092" s="19"/>
      <c r="D1092" s="19" t="s">
        <v>2688</v>
      </c>
      <c r="E1092" s="53" t="s">
        <v>42</v>
      </c>
      <c r="F1092" s="31" t="s">
        <v>34</v>
      </c>
      <c r="G1092" s="37" t="s">
        <v>49</v>
      </c>
      <c r="H1092" s="39"/>
      <c r="I1092" s="19"/>
      <c r="J1092" s="19" t="str">
        <f t="array" ref="J1092">IF($I1092="","",IFERROR(INDEX(Legend!$C$41:$C$45,MATCH($I1092,Legend!$B$41:$B$45,0)),""))</f>
        <v/>
      </c>
      <c r="K1092" s="19"/>
    </row>
    <row r="1093" ht="15.75" customHeight="1">
      <c r="A1093" s="18">
        <v>1089.0</v>
      </c>
      <c r="B1093" s="19" t="s">
        <v>989</v>
      </c>
      <c r="C1093" s="19"/>
      <c r="D1093" s="19" t="s">
        <v>2689</v>
      </c>
      <c r="E1093" s="53" t="s">
        <v>42</v>
      </c>
      <c r="F1093" s="48" t="s">
        <v>77</v>
      </c>
      <c r="G1093" s="37" t="s">
        <v>49</v>
      </c>
      <c r="H1093" s="39"/>
      <c r="I1093" s="19"/>
      <c r="J1093" s="19" t="str">
        <f t="array" ref="J1093">IF($I1093="","",IFERROR(INDEX(Legend!$C$41:$C$45,MATCH($I1093,Legend!$B$41:$B$45,0)),""))</f>
        <v/>
      </c>
      <c r="K1093" s="19"/>
    </row>
    <row r="1094" ht="15.75" customHeight="1">
      <c r="A1094" s="18">
        <v>1090.0</v>
      </c>
      <c r="B1094" s="19" t="s">
        <v>989</v>
      </c>
      <c r="C1094" s="19"/>
      <c r="D1094" s="19" t="s">
        <v>2690</v>
      </c>
      <c r="E1094" s="53" t="s">
        <v>42</v>
      </c>
      <c r="F1094" s="48" t="s">
        <v>77</v>
      </c>
      <c r="G1094" s="37" t="s">
        <v>49</v>
      </c>
      <c r="H1094" s="39"/>
      <c r="I1094" s="19"/>
      <c r="J1094" s="19" t="str">
        <f t="array" ref="J1094">IF($I1094="","",IFERROR(INDEX(Legend!$C$41:$C$45,MATCH($I1094,Legend!$B$41:$B$45,0)),""))</f>
        <v/>
      </c>
      <c r="K1094" s="19"/>
    </row>
    <row r="1095" ht="15.75" customHeight="1">
      <c r="A1095" s="18">
        <v>1091.0</v>
      </c>
      <c r="B1095" s="19" t="s">
        <v>989</v>
      </c>
      <c r="C1095" s="19"/>
      <c r="D1095" s="19" t="s">
        <v>2691</v>
      </c>
      <c r="E1095" s="53" t="s">
        <v>42</v>
      </c>
      <c r="F1095" s="31" t="s">
        <v>34</v>
      </c>
      <c r="G1095" s="37" t="s">
        <v>49</v>
      </c>
      <c r="H1095" s="39"/>
      <c r="I1095" s="19"/>
      <c r="J1095" s="19" t="str">
        <f t="array" ref="J1095">IF($I1095="","",IFERROR(INDEX(Legend!$C$41:$C$45,MATCH($I1095,Legend!$B$41:$B$45,0)),""))</f>
        <v/>
      </c>
      <c r="K1095" s="19"/>
    </row>
    <row r="1096" ht="15.75" customHeight="1">
      <c r="A1096" s="18">
        <v>1092.0</v>
      </c>
      <c r="B1096" s="19" t="s">
        <v>989</v>
      </c>
      <c r="C1096" s="19"/>
      <c r="D1096" s="19" t="s">
        <v>2692</v>
      </c>
      <c r="E1096" s="53" t="s">
        <v>42</v>
      </c>
      <c r="F1096" s="31" t="s">
        <v>34</v>
      </c>
      <c r="G1096" s="37" t="s">
        <v>49</v>
      </c>
      <c r="H1096" s="39"/>
      <c r="I1096" s="19"/>
      <c r="J1096" s="19" t="str">
        <f t="array" ref="J1096">IF($I1096="","",IFERROR(INDEX(Legend!$C$41:$C$45,MATCH($I1096,Legend!$B$41:$B$45,0)),""))</f>
        <v/>
      </c>
      <c r="K1096" s="19"/>
    </row>
    <row r="1097" ht="15.75" customHeight="1">
      <c r="A1097" s="18">
        <v>1093.0</v>
      </c>
      <c r="B1097" s="19" t="s">
        <v>989</v>
      </c>
      <c r="C1097" s="19"/>
      <c r="D1097" s="19" t="s">
        <v>2693</v>
      </c>
      <c r="E1097" s="53" t="s">
        <v>42</v>
      </c>
      <c r="F1097" s="48" t="s">
        <v>77</v>
      </c>
      <c r="G1097" s="37" t="s">
        <v>49</v>
      </c>
      <c r="H1097" s="39" t="s">
        <v>2694</v>
      </c>
      <c r="I1097" s="19"/>
      <c r="J1097" s="19" t="str">
        <f t="array" ref="J1097">IF($I1097="","",IFERROR(INDEX(Legend!$C$41:$C$45,MATCH($I1097,Legend!$B$41:$B$45,0)),""))</f>
        <v/>
      </c>
      <c r="K1097" s="19"/>
    </row>
    <row r="1098" ht="15.75" customHeight="1">
      <c r="A1098" s="18">
        <v>1094.0</v>
      </c>
      <c r="B1098" s="19" t="s">
        <v>989</v>
      </c>
      <c r="C1098" s="19"/>
      <c r="D1098" s="19" t="s">
        <v>2695</v>
      </c>
      <c r="E1098" s="53" t="s">
        <v>42</v>
      </c>
      <c r="F1098" s="31" t="s">
        <v>34</v>
      </c>
      <c r="G1098" s="37" t="s">
        <v>49</v>
      </c>
      <c r="H1098" s="39"/>
      <c r="I1098" s="19"/>
      <c r="J1098" s="19" t="str">
        <f t="array" ref="J1098">IF($I1098="","",IFERROR(INDEX(Legend!$C$41:$C$45,MATCH($I1098,Legend!$B$41:$B$45,0)),""))</f>
        <v/>
      </c>
      <c r="K1098" s="19"/>
    </row>
    <row r="1099" ht="15.75" customHeight="1">
      <c r="A1099" s="18">
        <v>1095.0</v>
      </c>
      <c r="B1099" s="19" t="s">
        <v>989</v>
      </c>
      <c r="C1099" s="19"/>
      <c r="D1099" s="19" t="s">
        <v>2696</v>
      </c>
      <c r="E1099" s="53" t="s">
        <v>42</v>
      </c>
      <c r="F1099" s="31" t="s">
        <v>34</v>
      </c>
      <c r="G1099" s="46" t="s">
        <v>50</v>
      </c>
      <c r="H1099" s="39"/>
      <c r="I1099" s="19"/>
      <c r="J1099" s="19" t="str">
        <f t="array" ref="J1099">IF($I1099="","",IFERROR(INDEX(Legend!$C$41:$C$45,MATCH($I1099,Legend!$B$41:$B$45,0)),""))</f>
        <v/>
      </c>
      <c r="K1099" s="19"/>
    </row>
    <row r="1100" ht="15.75" customHeight="1">
      <c r="A1100" s="18">
        <v>1096.0</v>
      </c>
      <c r="B1100" s="19" t="s">
        <v>989</v>
      </c>
      <c r="C1100" s="19"/>
      <c r="D1100" s="19" t="s">
        <v>2697</v>
      </c>
      <c r="E1100" s="53" t="s">
        <v>42</v>
      </c>
      <c r="F1100" s="48" t="s">
        <v>77</v>
      </c>
      <c r="G1100" s="37" t="s">
        <v>49</v>
      </c>
      <c r="H1100" s="39" t="s">
        <v>2698</v>
      </c>
      <c r="I1100" s="19"/>
      <c r="J1100" s="19" t="str">
        <f t="array" ref="J1100">IF($I1100="","",IFERROR(INDEX(Legend!$C$41:$C$45,MATCH($I1100,Legend!$B$41:$B$45,0)),""))</f>
        <v/>
      </c>
      <c r="K1100" s="19"/>
    </row>
    <row r="1101" ht="15.75" customHeight="1">
      <c r="A1101" s="18">
        <v>1097.0</v>
      </c>
      <c r="B1101" s="19" t="s">
        <v>989</v>
      </c>
      <c r="C1101" s="19"/>
      <c r="D1101" s="19" t="s">
        <v>2699</v>
      </c>
      <c r="E1101" s="53" t="s">
        <v>42</v>
      </c>
      <c r="F1101" s="31" t="s">
        <v>34</v>
      </c>
      <c r="G1101" s="46" t="s">
        <v>50</v>
      </c>
      <c r="H1101" s="39"/>
      <c r="I1101" s="19"/>
      <c r="J1101" s="19" t="str">
        <f t="array" ref="J1101">IF($I1101="","",IFERROR(INDEX(Legend!$C$41:$C$45,MATCH($I1101,Legend!$B$41:$B$45,0)),""))</f>
        <v/>
      </c>
      <c r="K1101" s="19"/>
    </row>
    <row r="1102" ht="15.75" customHeight="1">
      <c r="A1102" s="18">
        <v>1098.0</v>
      </c>
      <c r="B1102" s="19" t="s">
        <v>989</v>
      </c>
      <c r="C1102" s="19"/>
      <c r="D1102" s="19" t="s">
        <v>2700</v>
      </c>
      <c r="E1102" s="53" t="s">
        <v>42</v>
      </c>
      <c r="F1102" s="31" t="s">
        <v>34</v>
      </c>
      <c r="G1102" s="46" t="s">
        <v>50</v>
      </c>
      <c r="H1102" s="39" t="s">
        <v>2701</v>
      </c>
      <c r="I1102" s="19"/>
      <c r="J1102" s="19" t="str">
        <f t="array" ref="J1102">IF($I1102="","",IFERROR(INDEX(Legend!$C$41:$C$45,MATCH($I1102,Legend!$B$41:$B$45,0)),""))</f>
        <v/>
      </c>
      <c r="K1102" s="19"/>
    </row>
    <row r="1103" ht="15.75" customHeight="1">
      <c r="A1103" s="18">
        <v>1099.0</v>
      </c>
      <c r="B1103" s="19" t="s">
        <v>989</v>
      </c>
      <c r="C1103" s="19"/>
      <c r="D1103" s="19" t="s">
        <v>2702</v>
      </c>
      <c r="E1103" s="53" t="s">
        <v>42</v>
      </c>
      <c r="F1103" s="31" t="s">
        <v>34</v>
      </c>
      <c r="G1103" s="46" t="s">
        <v>50</v>
      </c>
      <c r="H1103" s="39"/>
      <c r="I1103" s="19"/>
      <c r="J1103" s="19" t="str">
        <f t="array" ref="J1103">IF($I1103="","",IFERROR(INDEX(Legend!$C$41:$C$45,MATCH($I1103,Legend!$B$41:$B$45,0)),""))</f>
        <v/>
      </c>
      <c r="K1103" s="19"/>
    </row>
    <row r="1104" ht="15.75" customHeight="1">
      <c r="A1104" s="18">
        <v>1100.0</v>
      </c>
      <c r="B1104" s="19" t="s">
        <v>989</v>
      </c>
      <c r="C1104" s="19"/>
      <c r="D1104" s="19" t="s">
        <v>2703</v>
      </c>
      <c r="E1104" s="53" t="s">
        <v>42</v>
      </c>
      <c r="F1104" s="31" t="s">
        <v>34</v>
      </c>
      <c r="G1104" s="46" t="s">
        <v>50</v>
      </c>
      <c r="H1104" s="39"/>
      <c r="I1104" s="19"/>
      <c r="J1104" s="19" t="str">
        <f t="array" ref="J1104">IF($I1104="","",IFERROR(INDEX(Legend!$C$41:$C$45,MATCH($I1104,Legend!$B$41:$B$45,0)),""))</f>
        <v/>
      </c>
      <c r="K1104" s="19"/>
    </row>
    <row r="1105" ht="15.75" customHeight="1">
      <c r="A1105" s="18">
        <v>1101.0</v>
      </c>
      <c r="B1105" s="19" t="s">
        <v>989</v>
      </c>
      <c r="C1105" s="19"/>
      <c r="D1105" s="19" t="s">
        <v>2704</v>
      </c>
      <c r="E1105" s="53" t="s">
        <v>42</v>
      </c>
      <c r="F1105" s="31" t="s">
        <v>34</v>
      </c>
      <c r="G1105" s="46" t="s">
        <v>50</v>
      </c>
      <c r="H1105" s="39"/>
      <c r="I1105" s="19"/>
      <c r="J1105" s="19" t="str">
        <f t="array" ref="J1105">IF($I1105="","",IFERROR(INDEX(Legend!$C$41:$C$45,MATCH($I1105,Legend!$B$41:$B$45,0)),""))</f>
        <v/>
      </c>
      <c r="K1105" s="19"/>
    </row>
    <row r="1106" ht="15.75" customHeight="1">
      <c r="A1106" s="18">
        <v>1102.0</v>
      </c>
      <c r="B1106" s="19" t="s">
        <v>989</v>
      </c>
      <c r="C1106" s="19"/>
      <c r="D1106" s="19" t="s">
        <v>2705</v>
      </c>
      <c r="E1106" s="53" t="s">
        <v>42</v>
      </c>
      <c r="F1106" s="31" t="s">
        <v>34</v>
      </c>
      <c r="G1106" s="46" t="s">
        <v>50</v>
      </c>
      <c r="H1106" s="39"/>
      <c r="I1106" s="19"/>
      <c r="J1106" s="19" t="str">
        <f t="array" ref="J1106">IF($I1106="","",IFERROR(INDEX(Legend!$C$41:$C$45,MATCH($I1106,Legend!$B$41:$B$45,0)),""))</f>
        <v/>
      </c>
      <c r="K1106" s="19"/>
    </row>
    <row r="1107" ht="15.75" customHeight="1">
      <c r="A1107" s="18">
        <v>1103.0</v>
      </c>
      <c r="B1107" s="19" t="s">
        <v>989</v>
      </c>
      <c r="C1107" s="19"/>
      <c r="D1107" s="19" t="s">
        <v>2706</v>
      </c>
      <c r="E1107" s="53" t="s">
        <v>42</v>
      </c>
      <c r="F1107" s="48" t="s">
        <v>77</v>
      </c>
      <c r="G1107" s="37" t="s">
        <v>49</v>
      </c>
      <c r="H1107" s="39"/>
      <c r="I1107" s="19"/>
      <c r="J1107" s="19" t="str">
        <f t="array" ref="J1107">IF($I1107="","",IFERROR(INDEX(Legend!$C$41:$C$45,MATCH($I1107,Legend!$B$41:$B$45,0)),""))</f>
        <v/>
      </c>
      <c r="K1107" s="19"/>
    </row>
    <row r="1108" ht="15.75" customHeight="1">
      <c r="A1108" s="18">
        <v>1104.0</v>
      </c>
      <c r="B1108" s="19" t="s">
        <v>989</v>
      </c>
      <c r="C1108" s="19"/>
      <c r="D1108" s="19" t="s">
        <v>2707</v>
      </c>
      <c r="E1108" s="53" t="s">
        <v>42</v>
      </c>
      <c r="F1108" s="54" t="s">
        <v>46</v>
      </c>
      <c r="G1108" s="61" t="s">
        <v>47</v>
      </c>
      <c r="H1108" s="39"/>
      <c r="I1108" s="19"/>
      <c r="J1108" s="19" t="str">
        <f t="array" ref="J1108">IF($I1108="","",IFERROR(INDEX(Legend!$C$41:$C$45,MATCH($I1108,Legend!$B$41:$B$45,0)),""))</f>
        <v/>
      </c>
      <c r="K1108" s="19"/>
    </row>
    <row r="1109" ht="15.75" customHeight="1">
      <c r="A1109" s="18">
        <v>1105.0</v>
      </c>
      <c r="B1109" s="19" t="s">
        <v>998</v>
      </c>
      <c r="C1109" s="19" t="s">
        <v>2708</v>
      </c>
      <c r="D1109" s="19" t="s">
        <v>2709</v>
      </c>
      <c r="E1109" s="53" t="s">
        <v>42</v>
      </c>
      <c r="F1109" s="31" t="s">
        <v>34</v>
      </c>
      <c r="G1109" s="37" t="s">
        <v>49</v>
      </c>
      <c r="H1109" s="39" t="s">
        <v>2710</v>
      </c>
      <c r="I1109" s="19"/>
      <c r="J1109" s="19" t="str">
        <f t="array" ref="J1109">IF($I1109="","",IFERROR(INDEX(Legend!$C$41:$C$45,MATCH($I1109,Legend!$B$41:$B$45,0)),""))</f>
        <v/>
      </c>
      <c r="K1109" s="19"/>
    </row>
    <row r="1110" ht="15.75" customHeight="1">
      <c r="A1110" s="18">
        <v>1106.0</v>
      </c>
      <c r="B1110" s="19" t="s">
        <v>998</v>
      </c>
      <c r="C1110" s="19" t="s">
        <v>2708</v>
      </c>
      <c r="D1110" s="19" t="s">
        <v>2711</v>
      </c>
      <c r="E1110" s="53" t="s">
        <v>42</v>
      </c>
      <c r="F1110" s="48" t="s">
        <v>77</v>
      </c>
      <c r="G1110" s="37" t="s">
        <v>49</v>
      </c>
      <c r="H1110" s="39" t="s">
        <v>2712</v>
      </c>
      <c r="I1110" s="19"/>
      <c r="J1110" s="19" t="str">
        <f t="array" ref="J1110">IF($I1110="","",IFERROR(INDEX(Legend!$C$41:$C$45,MATCH($I1110,Legend!$B$41:$B$45,0)),""))</f>
        <v/>
      </c>
      <c r="K1110" s="19"/>
    </row>
    <row r="1111" ht="15.75" customHeight="1">
      <c r="A1111" s="18">
        <v>1107.0</v>
      </c>
      <c r="B1111" s="19" t="s">
        <v>998</v>
      </c>
      <c r="C1111" s="19" t="s">
        <v>2708</v>
      </c>
      <c r="D1111" s="19" t="s">
        <v>2713</v>
      </c>
      <c r="E1111" s="53" t="s">
        <v>42</v>
      </c>
      <c r="F1111" s="48" t="s">
        <v>77</v>
      </c>
      <c r="G1111" s="37" t="s">
        <v>49</v>
      </c>
      <c r="H1111" s="39" t="s">
        <v>2714</v>
      </c>
      <c r="I1111" s="19"/>
      <c r="J1111" s="19" t="str">
        <f t="array" ref="J1111">IF($I1111="","",IFERROR(INDEX(Legend!$C$41:$C$45,MATCH($I1111,Legend!$B$41:$B$45,0)),""))</f>
        <v/>
      </c>
      <c r="K1111" s="19"/>
    </row>
    <row r="1112" ht="15.75" customHeight="1">
      <c r="A1112" s="18">
        <v>1108.0</v>
      </c>
      <c r="B1112" s="19" t="s">
        <v>998</v>
      </c>
      <c r="C1112" s="19" t="s">
        <v>2708</v>
      </c>
      <c r="D1112" s="19" t="s">
        <v>2715</v>
      </c>
      <c r="E1112" s="53" t="s">
        <v>42</v>
      </c>
      <c r="F1112" s="54" t="s">
        <v>46</v>
      </c>
      <c r="G1112" s="46" t="s">
        <v>50</v>
      </c>
      <c r="H1112" s="39" t="s">
        <v>2716</v>
      </c>
      <c r="I1112" s="19"/>
      <c r="J1112" s="19" t="str">
        <f t="array" ref="J1112">IF($I1112="","",IFERROR(INDEX(Legend!$C$41:$C$45,MATCH($I1112,Legend!$B$41:$B$45,0)),""))</f>
        <v/>
      </c>
      <c r="K1112" s="19"/>
    </row>
    <row r="1113" ht="15.75" customHeight="1">
      <c r="A1113" s="18">
        <v>1109.0</v>
      </c>
      <c r="B1113" s="19" t="s">
        <v>998</v>
      </c>
      <c r="C1113" s="19" t="s">
        <v>2708</v>
      </c>
      <c r="D1113" s="19" t="s">
        <v>219</v>
      </c>
      <c r="E1113" s="53" t="s">
        <v>42</v>
      </c>
      <c r="F1113" s="31" t="s">
        <v>34</v>
      </c>
      <c r="G1113" s="37" t="s">
        <v>49</v>
      </c>
      <c r="H1113" s="39" t="s">
        <v>2717</v>
      </c>
      <c r="I1113" s="19"/>
      <c r="J1113" s="19" t="str">
        <f t="array" ref="J1113">IF($I1113="","",IFERROR(INDEX(Legend!$C$41:$C$45,MATCH($I1113,Legend!$B$41:$B$45,0)),""))</f>
        <v/>
      </c>
      <c r="K1113" s="19"/>
    </row>
    <row r="1114" ht="15.75" customHeight="1">
      <c r="A1114" s="18">
        <v>1110.0</v>
      </c>
      <c r="B1114" s="19" t="s">
        <v>998</v>
      </c>
      <c r="C1114" s="19" t="s">
        <v>2708</v>
      </c>
      <c r="D1114" s="19" t="s">
        <v>2718</v>
      </c>
      <c r="E1114" s="53" t="s">
        <v>42</v>
      </c>
      <c r="F1114" s="31" t="s">
        <v>34</v>
      </c>
      <c r="G1114" s="37" t="s">
        <v>49</v>
      </c>
      <c r="H1114" s="39" t="s">
        <v>2719</v>
      </c>
      <c r="I1114" s="19"/>
      <c r="J1114" s="19" t="str">
        <f t="array" ref="J1114">IF($I1114="","",IFERROR(INDEX(Legend!$C$41:$C$45,MATCH($I1114,Legend!$B$41:$B$45,0)),""))</f>
        <v/>
      </c>
      <c r="K1114" s="19"/>
    </row>
    <row r="1115" ht="15.75" customHeight="1">
      <c r="A1115" s="18">
        <v>1111.0</v>
      </c>
      <c r="B1115" s="19" t="s">
        <v>998</v>
      </c>
      <c r="C1115" s="19" t="s">
        <v>2708</v>
      </c>
      <c r="D1115" s="19" t="s">
        <v>2720</v>
      </c>
      <c r="E1115" s="53" t="s">
        <v>42</v>
      </c>
      <c r="F1115" s="31" t="s">
        <v>34</v>
      </c>
      <c r="G1115" s="46" t="s">
        <v>50</v>
      </c>
      <c r="H1115" s="39" t="s">
        <v>2721</v>
      </c>
      <c r="I1115" s="19"/>
      <c r="J1115" s="19" t="str">
        <f t="array" ref="J1115">IF($I1115="","",IFERROR(INDEX(Legend!$C$41:$C$45,MATCH($I1115,Legend!$B$41:$B$45,0)),""))</f>
        <v/>
      </c>
      <c r="K1115" s="19"/>
    </row>
    <row r="1116" ht="15.75" customHeight="1">
      <c r="A1116" s="18">
        <v>1112.0</v>
      </c>
      <c r="B1116" s="19" t="s">
        <v>998</v>
      </c>
      <c r="C1116" s="19" t="s">
        <v>2708</v>
      </c>
      <c r="D1116" s="19" t="s">
        <v>2722</v>
      </c>
      <c r="E1116" s="53" t="s">
        <v>42</v>
      </c>
      <c r="F1116" s="54" t="s">
        <v>46</v>
      </c>
      <c r="G1116" s="46" t="s">
        <v>50</v>
      </c>
      <c r="H1116" s="39" t="s">
        <v>2723</v>
      </c>
      <c r="I1116" s="19"/>
      <c r="J1116" s="19" t="str">
        <f t="array" ref="J1116">IF($I1116="","",IFERROR(INDEX(Legend!$C$41:$C$45,MATCH($I1116,Legend!$B$41:$B$45,0)),""))</f>
        <v/>
      </c>
      <c r="K1116" s="19"/>
    </row>
    <row r="1117" ht="15.75" customHeight="1">
      <c r="A1117" s="18">
        <v>1113.0</v>
      </c>
      <c r="B1117" s="19" t="s">
        <v>998</v>
      </c>
      <c r="C1117" s="19" t="s">
        <v>2708</v>
      </c>
      <c r="D1117" s="19" t="s">
        <v>2724</v>
      </c>
      <c r="E1117" s="53" t="s">
        <v>42</v>
      </c>
      <c r="F1117" s="54" t="s">
        <v>46</v>
      </c>
      <c r="G1117" s="46" t="s">
        <v>50</v>
      </c>
      <c r="H1117" s="39" t="s">
        <v>2725</v>
      </c>
      <c r="I1117" s="19"/>
      <c r="J1117" s="19" t="str">
        <f t="array" ref="J1117">IF($I1117="","",IFERROR(INDEX(Legend!$C$41:$C$45,MATCH($I1117,Legend!$B$41:$B$45,0)),""))</f>
        <v/>
      </c>
      <c r="K1117" s="19"/>
    </row>
    <row r="1118" ht="15.75" customHeight="1">
      <c r="A1118" s="18">
        <v>1114.0</v>
      </c>
      <c r="B1118" s="19" t="s">
        <v>998</v>
      </c>
      <c r="C1118" s="19" t="s">
        <v>2708</v>
      </c>
      <c r="D1118" s="19" t="s">
        <v>2726</v>
      </c>
      <c r="E1118" s="53" t="s">
        <v>42</v>
      </c>
      <c r="F1118" s="31" t="s">
        <v>34</v>
      </c>
      <c r="G1118" s="46" t="s">
        <v>50</v>
      </c>
      <c r="H1118" s="39" t="s">
        <v>2727</v>
      </c>
      <c r="I1118" s="19"/>
      <c r="J1118" s="19" t="str">
        <f t="array" ref="J1118">IF($I1118="","",IFERROR(INDEX(Legend!$C$41:$C$45,MATCH($I1118,Legend!$B$41:$B$45,0)),""))</f>
        <v/>
      </c>
      <c r="K1118" s="19"/>
    </row>
    <row r="1119" ht="15.75" customHeight="1">
      <c r="A1119" s="18">
        <v>1115.0</v>
      </c>
      <c r="B1119" s="19" t="s">
        <v>998</v>
      </c>
      <c r="C1119" s="19" t="s">
        <v>2708</v>
      </c>
      <c r="D1119" s="19" t="s">
        <v>2728</v>
      </c>
      <c r="E1119" s="53" t="s">
        <v>42</v>
      </c>
      <c r="F1119" s="31" t="s">
        <v>34</v>
      </c>
      <c r="G1119" s="37" t="s">
        <v>49</v>
      </c>
      <c r="H1119" s="39" t="s">
        <v>2729</v>
      </c>
      <c r="I1119" s="19"/>
      <c r="J1119" s="19" t="str">
        <f t="array" ref="J1119">IF($I1119="","",IFERROR(INDEX(Legend!$C$41:$C$45,MATCH($I1119,Legend!$B$41:$B$45,0)),""))</f>
        <v/>
      </c>
      <c r="K1119" s="19"/>
    </row>
    <row r="1120" ht="15.75" customHeight="1">
      <c r="A1120" s="18">
        <v>1116.0</v>
      </c>
      <c r="B1120" s="19" t="s">
        <v>998</v>
      </c>
      <c r="C1120" s="19" t="s">
        <v>2708</v>
      </c>
      <c r="D1120" s="19" t="s">
        <v>2730</v>
      </c>
      <c r="E1120" s="53" t="s">
        <v>42</v>
      </c>
      <c r="F1120" s="48" t="s">
        <v>77</v>
      </c>
      <c r="G1120" s="37" t="s">
        <v>49</v>
      </c>
      <c r="H1120" s="39" t="s">
        <v>2731</v>
      </c>
      <c r="I1120" s="19"/>
      <c r="J1120" s="19" t="str">
        <f t="array" ref="J1120">IF($I1120="","",IFERROR(INDEX(Legend!$C$41:$C$45,MATCH($I1120,Legend!$B$41:$B$45,0)),""))</f>
        <v/>
      </c>
      <c r="K1120" s="19"/>
    </row>
    <row r="1121" ht="15.75" customHeight="1">
      <c r="A1121" s="18">
        <v>1117.0</v>
      </c>
      <c r="B1121" s="19" t="s">
        <v>998</v>
      </c>
      <c r="C1121" s="19" t="s">
        <v>2708</v>
      </c>
      <c r="D1121" s="19" t="s">
        <v>2732</v>
      </c>
      <c r="E1121" s="53" t="s">
        <v>42</v>
      </c>
      <c r="F1121" s="31" t="s">
        <v>34</v>
      </c>
      <c r="G1121" s="37" t="s">
        <v>49</v>
      </c>
      <c r="H1121" s="39" t="s">
        <v>2733</v>
      </c>
      <c r="I1121" s="19"/>
      <c r="J1121" s="19" t="str">
        <f t="array" ref="J1121">IF($I1121="","",IFERROR(INDEX(Legend!$C$41:$C$45,MATCH($I1121,Legend!$B$41:$B$45,0)),""))</f>
        <v/>
      </c>
      <c r="K1121" s="19"/>
    </row>
    <row r="1122" ht="15.75" customHeight="1">
      <c r="A1122" s="18">
        <v>1118.0</v>
      </c>
      <c r="B1122" s="19" t="s">
        <v>998</v>
      </c>
      <c r="C1122" s="19" t="s">
        <v>2708</v>
      </c>
      <c r="D1122" s="19" t="s">
        <v>2734</v>
      </c>
      <c r="E1122" s="53" t="s">
        <v>42</v>
      </c>
      <c r="F1122" s="54" t="s">
        <v>46</v>
      </c>
      <c r="G1122" s="37" t="s">
        <v>49</v>
      </c>
      <c r="H1122" s="39" t="s">
        <v>2735</v>
      </c>
      <c r="I1122" s="19"/>
      <c r="J1122" s="19" t="str">
        <f t="array" ref="J1122">IF($I1122="","",IFERROR(INDEX(Legend!$C$41:$C$45,MATCH($I1122,Legend!$B$41:$B$45,0)),""))</f>
        <v/>
      </c>
      <c r="K1122" s="19"/>
    </row>
    <row r="1123" ht="15.75" customHeight="1">
      <c r="A1123" s="18">
        <v>1119.0</v>
      </c>
      <c r="B1123" s="19" t="s">
        <v>1010</v>
      </c>
      <c r="C1123" s="19" t="s">
        <v>2736</v>
      </c>
      <c r="D1123" s="19" t="s">
        <v>2737</v>
      </c>
      <c r="E1123" s="53" t="s">
        <v>42</v>
      </c>
      <c r="F1123" s="31" t="s">
        <v>34</v>
      </c>
      <c r="G1123" s="37" t="s">
        <v>49</v>
      </c>
      <c r="H1123" s="39" t="s">
        <v>2738</v>
      </c>
      <c r="I1123" s="19"/>
      <c r="J1123" s="19" t="str">
        <f t="array" ref="J1123">IF($I1123="","",IFERROR(INDEX(Legend!$C$41:$C$45,MATCH($I1123,Legend!$B$41:$B$45,0)),""))</f>
        <v/>
      </c>
      <c r="K1123" s="19"/>
    </row>
    <row r="1124" ht="15.75" customHeight="1">
      <c r="A1124" s="18">
        <v>1120.0</v>
      </c>
      <c r="B1124" s="19" t="s">
        <v>1010</v>
      </c>
      <c r="C1124" s="19" t="s">
        <v>2736</v>
      </c>
      <c r="D1124" s="19" t="s">
        <v>2739</v>
      </c>
      <c r="E1124" s="53" t="s">
        <v>42</v>
      </c>
      <c r="F1124" s="31" t="s">
        <v>34</v>
      </c>
      <c r="G1124" s="37" t="s">
        <v>49</v>
      </c>
      <c r="H1124" s="39" t="s">
        <v>2740</v>
      </c>
      <c r="I1124" s="19"/>
      <c r="J1124" s="19" t="str">
        <f t="array" ref="J1124">IF($I1124="","",IFERROR(INDEX(Legend!$C$41:$C$45,MATCH($I1124,Legend!$B$41:$B$45,0)),""))</f>
        <v/>
      </c>
      <c r="K1124" s="19"/>
    </row>
    <row r="1125" ht="15.75" customHeight="1">
      <c r="A1125" s="18">
        <v>1121.0</v>
      </c>
      <c r="B1125" s="19" t="s">
        <v>1010</v>
      </c>
      <c r="C1125" s="19" t="s">
        <v>2736</v>
      </c>
      <c r="D1125" s="19" t="s">
        <v>2741</v>
      </c>
      <c r="E1125" s="53" t="s">
        <v>42</v>
      </c>
      <c r="F1125" s="31" t="s">
        <v>34</v>
      </c>
      <c r="G1125" s="37" t="s">
        <v>49</v>
      </c>
      <c r="H1125" s="39" t="s">
        <v>2742</v>
      </c>
      <c r="I1125" s="19"/>
      <c r="J1125" s="19" t="str">
        <f t="array" ref="J1125">IF($I1125="","",IFERROR(INDEX(Legend!$C$41:$C$45,MATCH($I1125,Legend!$B$41:$B$45,0)),""))</f>
        <v/>
      </c>
      <c r="K1125" s="19"/>
    </row>
    <row r="1126" ht="15.75" customHeight="1">
      <c r="A1126" s="18">
        <v>1122.0</v>
      </c>
      <c r="B1126" s="19" t="s">
        <v>1010</v>
      </c>
      <c r="C1126" s="19" t="s">
        <v>2736</v>
      </c>
      <c r="D1126" s="19" t="s">
        <v>2743</v>
      </c>
      <c r="E1126" s="53" t="s">
        <v>42</v>
      </c>
      <c r="F1126" s="31" t="s">
        <v>34</v>
      </c>
      <c r="G1126" s="37" t="s">
        <v>49</v>
      </c>
      <c r="H1126" s="39" t="s">
        <v>2744</v>
      </c>
      <c r="I1126" s="19"/>
      <c r="J1126" s="19" t="str">
        <f t="array" ref="J1126">IF($I1126="","",IFERROR(INDEX(Legend!$C$41:$C$45,MATCH($I1126,Legend!$B$41:$B$45,0)),""))</f>
        <v/>
      </c>
      <c r="K1126" s="19"/>
    </row>
    <row r="1127" ht="15.75" customHeight="1">
      <c r="A1127" s="18">
        <v>1123.0</v>
      </c>
      <c r="B1127" s="19" t="s">
        <v>1010</v>
      </c>
      <c r="C1127" s="19" t="s">
        <v>2736</v>
      </c>
      <c r="D1127" s="19" t="s">
        <v>2745</v>
      </c>
      <c r="E1127" s="53" t="s">
        <v>42</v>
      </c>
      <c r="F1127" s="48" t="s">
        <v>77</v>
      </c>
      <c r="G1127" s="37" t="s">
        <v>49</v>
      </c>
      <c r="H1127" s="39" t="s">
        <v>2746</v>
      </c>
      <c r="I1127" s="19"/>
      <c r="J1127" s="19" t="str">
        <f t="array" ref="J1127">IF($I1127="","",IFERROR(INDEX(Legend!$C$41:$C$45,MATCH($I1127,Legend!$B$41:$B$45,0)),""))</f>
        <v/>
      </c>
      <c r="K1127" s="19"/>
    </row>
    <row r="1128" ht="15.75" customHeight="1">
      <c r="A1128" s="18">
        <v>1124.0</v>
      </c>
      <c r="B1128" s="19" t="s">
        <v>1010</v>
      </c>
      <c r="C1128" s="19" t="s">
        <v>2736</v>
      </c>
      <c r="D1128" s="19" t="s">
        <v>2747</v>
      </c>
      <c r="E1128" s="53" t="s">
        <v>42</v>
      </c>
      <c r="F1128" s="48" t="s">
        <v>77</v>
      </c>
      <c r="G1128" s="37" t="s">
        <v>49</v>
      </c>
      <c r="H1128" s="39" t="s">
        <v>2748</v>
      </c>
      <c r="I1128" s="19"/>
      <c r="J1128" s="19" t="str">
        <f t="array" ref="J1128">IF($I1128="","",IFERROR(INDEX(Legend!$C$41:$C$45,MATCH($I1128,Legend!$B$41:$B$45,0)),""))</f>
        <v/>
      </c>
      <c r="K1128" s="19"/>
    </row>
    <row r="1129" ht="15.75" customHeight="1">
      <c r="A1129" s="18">
        <v>1125.0</v>
      </c>
      <c r="B1129" s="19" t="s">
        <v>1010</v>
      </c>
      <c r="C1129" s="19" t="s">
        <v>2736</v>
      </c>
      <c r="D1129" s="19" t="s">
        <v>2749</v>
      </c>
      <c r="E1129" s="53" t="s">
        <v>42</v>
      </c>
      <c r="F1129" s="48" t="s">
        <v>77</v>
      </c>
      <c r="G1129" s="37" t="s">
        <v>49</v>
      </c>
      <c r="H1129" s="39" t="s">
        <v>2750</v>
      </c>
      <c r="I1129" s="19"/>
      <c r="J1129" s="19" t="str">
        <f t="array" ref="J1129">IF($I1129="","",IFERROR(INDEX(Legend!$C$41:$C$45,MATCH($I1129,Legend!$B$41:$B$45,0)),""))</f>
        <v/>
      </c>
      <c r="K1129" s="19"/>
    </row>
    <row r="1130" ht="15.75" customHeight="1">
      <c r="A1130" s="18">
        <v>1126.0</v>
      </c>
      <c r="B1130" s="19" t="s">
        <v>1010</v>
      </c>
      <c r="C1130" s="19" t="s">
        <v>2736</v>
      </c>
      <c r="D1130" s="19" t="s">
        <v>2751</v>
      </c>
      <c r="E1130" s="53" t="s">
        <v>42</v>
      </c>
      <c r="F1130" s="48" t="s">
        <v>77</v>
      </c>
      <c r="G1130" s="37" t="s">
        <v>49</v>
      </c>
      <c r="H1130" s="39" t="s">
        <v>2752</v>
      </c>
      <c r="I1130" s="19"/>
      <c r="J1130" s="19" t="str">
        <f t="array" ref="J1130">IF($I1130="","",IFERROR(INDEX(Legend!$C$41:$C$45,MATCH($I1130,Legend!$B$41:$B$45,0)),""))</f>
        <v/>
      </c>
      <c r="K1130" s="19"/>
    </row>
    <row r="1131" ht="15.75" customHeight="1">
      <c r="A1131" s="18">
        <v>1127.0</v>
      </c>
      <c r="B1131" s="19" t="s">
        <v>1010</v>
      </c>
      <c r="C1131" s="19" t="s">
        <v>2736</v>
      </c>
      <c r="D1131" s="19" t="s">
        <v>2753</v>
      </c>
      <c r="E1131" s="53" t="s">
        <v>42</v>
      </c>
      <c r="F1131" s="48" t="s">
        <v>77</v>
      </c>
      <c r="G1131" s="46" t="s">
        <v>50</v>
      </c>
      <c r="H1131" s="39" t="s">
        <v>2754</v>
      </c>
      <c r="I1131" s="19"/>
      <c r="J1131" s="19" t="str">
        <f t="array" ref="J1131">IF($I1131="","",IFERROR(INDEX(Legend!$C$41:$C$45,MATCH($I1131,Legend!$B$41:$B$45,0)),""))</f>
        <v/>
      </c>
      <c r="K1131" s="19"/>
    </row>
    <row r="1132" ht="15.75" customHeight="1">
      <c r="A1132" s="18">
        <v>1128.0</v>
      </c>
      <c r="B1132" s="19" t="s">
        <v>1010</v>
      </c>
      <c r="C1132" s="19" t="s">
        <v>2736</v>
      </c>
      <c r="D1132" s="19" t="s">
        <v>2755</v>
      </c>
      <c r="E1132" s="53" t="s">
        <v>42</v>
      </c>
      <c r="F1132" s="54" t="s">
        <v>46</v>
      </c>
      <c r="G1132" s="37" t="s">
        <v>49</v>
      </c>
      <c r="H1132" s="39" t="s">
        <v>2756</v>
      </c>
      <c r="I1132" s="19"/>
      <c r="J1132" s="19" t="str">
        <f t="array" ref="J1132">IF($I1132="","",IFERROR(INDEX(Legend!$C$41:$C$45,MATCH($I1132,Legend!$B$41:$B$45,0)),""))</f>
        <v/>
      </c>
      <c r="K1132" s="19"/>
    </row>
    <row r="1133" ht="15.75" customHeight="1">
      <c r="A1133" s="18">
        <v>1129.0</v>
      </c>
      <c r="B1133" s="19" t="s">
        <v>1010</v>
      </c>
      <c r="C1133" s="19" t="s">
        <v>2736</v>
      </c>
      <c r="D1133" s="19" t="s">
        <v>2757</v>
      </c>
      <c r="E1133" s="53" t="s">
        <v>42</v>
      </c>
      <c r="F1133" s="54" t="s">
        <v>46</v>
      </c>
      <c r="G1133" s="37" t="s">
        <v>49</v>
      </c>
      <c r="H1133" s="39" t="s">
        <v>2758</v>
      </c>
      <c r="I1133" s="19"/>
      <c r="J1133" s="19" t="str">
        <f t="array" ref="J1133">IF($I1133="","",IFERROR(INDEX(Legend!$C$41:$C$45,MATCH($I1133,Legend!$B$41:$B$45,0)),""))</f>
        <v/>
      </c>
      <c r="K1133" s="19"/>
    </row>
    <row r="1134" ht="15.75" customHeight="1">
      <c r="A1134" s="18">
        <v>1130.0</v>
      </c>
      <c r="B1134" s="19" t="s">
        <v>1010</v>
      </c>
      <c r="C1134" s="19" t="s">
        <v>2736</v>
      </c>
      <c r="D1134" s="19" t="s">
        <v>2759</v>
      </c>
      <c r="E1134" s="53" t="s">
        <v>42</v>
      </c>
      <c r="F1134" s="48" t="s">
        <v>77</v>
      </c>
      <c r="G1134" s="37" t="s">
        <v>49</v>
      </c>
      <c r="H1134" s="39" t="s">
        <v>2760</v>
      </c>
      <c r="I1134" s="19"/>
      <c r="J1134" s="19" t="str">
        <f t="array" ref="J1134">IF($I1134="","",IFERROR(INDEX(Legend!$C$41:$C$45,MATCH($I1134,Legend!$B$41:$B$45,0)),""))</f>
        <v/>
      </c>
      <c r="K1134" s="19"/>
    </row>
    <row r="1135" ht="15.75" customHeight="1">
      <c r="A1135" s="18">
        <v>1131.0</v>
      </c>
      <c r="B1135" s="19" t="s">
        <v>1010</v>
      </c>
      <c r="C1135" s="19" t="s">
        <v>2736</v>
      </c>
      <c r="D1135" s="19" t="s">
        <v>2761</v>
      </c>
      <c r="E1135" s="53" t="s">
        <v>42</v>
      </c>
      <c r="F1135" s="31" t="s">
        <v>34</v>
      </c>
      <c r="G1135" s="37" t="s">
        <v>49</v>
      </c>
      <c r="H1135" s="39" t="s">
        <v>2762</v>
      </c>
      <c r="I1135" s="19"/>
      <c r="J1135" s="19" t="str">
        <f t="array" ref="J1135">IF($I1135="","",IFERROR(INDEX(Legend!$C$41:$C$45,MATCH($I1135,Legend!$B$41:$B$45,0)),""))</f>
        <v/>
      </c>
      <c r="K1135" s="19"/>
    </row>
  </sheetData>
  <autoFilter ref="$A$4:$K$1135"/>
  <mergeCells count="5">
    <mergeCell ref="A1:K1"/>
    <mergeCell ref="A2:K2"/>
    <mergeCell ref="A3:B3"/>
    <mergeCell ref="E3:G3"/>
    <mergeCell ref="I3:J3"/>
  </mergeCells>
  <conditionalFormatting sqref="I5:I1135">
    <cfRule type="cellIs" dxfId="0" priority="1" operator="equal">
      <formula>"Not started"</formula>
    </cfRule>
  </conditionalFormatting>
  <conditionalFormatting sqref="I5:I1135">
    <cfRule type="cellIs" dxfId="1" priority="2" operator="equal">
      <formula>"Learning"</formula>
    </cfRule>
  </conditionalFormatting>
  <conditionalFormatting sqref="I5:I1135">
    <cfRule type="cellIs" dxfId="2" priority="3" operator="equal">
      <formula>"Can build"</formula>
    </cfRule>
  </conditionalFormatting>
  <conditionalFormatting sqref="I5:I1135">
    <cfRule type="cellIs" dxfId="3" priority="4" operator="equal">
      <formula>"Can debug"</formula>
    </cfRule>
  </conditionalFormatting>
  <conditionalFormatting sqref="I5:I1135">
    <cfRule type="cellIs" dxfId="4" priority="5" operator="equal">
      <formula>"Solid"</formula>
    </cfRule>
  </conditionalFormatting>
  <conditionalFormatting sqref="J5:J1135">
    <cfRule type="colorScale" priority="6">
      <colorScale>
        <cfvo type="formula" val="0"/>
        <cfvo type="formula" val="2"/>
        <cfvo type="formula" val="4"/>
        <color rgb="FFF8D7DA"/>
        <color rgb="FFFFF3CD"/>
        <color rgb="FFC9EAD5"/>
      </colorScale>
    </cfRule>
  </conditionalFormatting>
  <dataValidations>
    <dataValidation type="list" allowBlank="1" sqref="I5:I1135">
      <formula1>"Not started,Learning,Can build,Can debug,Solid"</formula1>
    </dataValidation>
  </dataValidations>
  <hyperlinks>
    <hyperlink display="Legend" location="Legend!A1" ref="A3"/>
    <hyperlink display="Advanced" location="'Advanced Web'!A1" ref="D3"/>
    <hyperlink display="Branches" location="'Role Branches'!A1" ref="E3"/>
    <hyperlink display="Drills" location="'Interview Drills'!A1" ref="H3"/>
    <hyperlink display="Courses" location="'Course Map'!A1" ref="I3"/>
    <hyperlink display="Dashboard" location="Dashboard!A1" ref="K3"/>
  </hyperlink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1D47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3" width="30.0"/>
    <col customWidth="1" min="4" max="4" width="50.0"/>
    <col customWidth="1" min="5" max="5" width="8.0"/>
    <col customWidth="1" min="6" max="6" width="7.0"/>
    <col customWidth="1" min="7" max="7" width="9.0"/>
    <col customWidth="1" min="8" max="8" width="66.0"/>
    <col customWidth="1" min="9" max="9" width="14.0"/>
    <col customWidth="1" min="10" max="10" width="7.0"/>
    <col customWidth="1" min="11" max="11" width="30.0"/>
    <col customWidth="1" min="12" max="26" width="8.71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5.5" customHeight="1">
      <c r="A3" s="10" t="s">
        <v>9</v>
      </c>
      <c r="B3" s="9"/>
      <c r="C3" s="12" t="s">
        <v>10</v>
      </c>
      <c r="D3" s="6" t="s">
        <v>16</v>
      </c>
      <c r="E3" s="10" t="s">
        <v>13</v>
      </c>
      <c r="F3" s="15"/>
      <c r="G3" s="9"/>
      <c r="H3" s="12" t="s">
        <v>15</v>
      </c>
      <c r="I3" s="10" t="s">
        <v>17</v>
      </c>
      <c r="J3" s="9"/>
      <c r="K3" s="12" t="s">
        <v>18</v>
      </c>
    </row>
    <row r="4" ht="30.0" customHeight="1">
      <c r="A4" s="17" t="s">
        <v>19</v>
      </c>
      <c r="B4" s="17" t="s">
        <v>20</v>
      </c>
      <c r="C4" s="17" t="s">
        <v>21</v>
      </c>
      <c r="D4" s="17" t="s">
        <v>22</v>
      </c>
      <c r="E4" s="17" t="s">
        <v>23</v>
      </c>
      <c r="F4" s="17" t="s">
        <v>24</v>
      </c>
      <c r="G4" s="17" t="s">
        <v>25</v>
      </c>
      <c r="H4" s="17" t="s">
        <v>26</v>
      </c>
      <c r="I4" s="17" t="s">
        <v>27</v>
      </c>
      <c r="J4" s="17" t="s">
        <v>28</v>
      </c>
      <c r="K4" s="17" t="s">
        <v>29</v>
      </c>
    </row>
    <row r="5">
      <c r="A5" s="21">
        <v>1.0</v>
      </c>
      <c r="B5" s="23" t="s">
        <v>36</v>
      </c>
      <c r="C5" s="23" t="s">
        <v>39</v>
      </c>
      <c r="D5" s="23" t="s">
        <v>41</v>
      </c>
      <c r="E5" s="26" t="s">
        <v>43</v>
      </c>
      <c r="F5" s="29" t="s">
        <v>46</v>
      </c>
      <c r="G5" s="30" t="s">
        <v>47</v>
      </c>
      <c r="H5" s="35" t="s">
        <v>48</v>
      </c>
      <c r="I5" s="40"/>
      <c r="J5" s="40" t="str">
        <f t="array" ref="J5">IF($I5="","",IFERROR(INDEX(Legend!$C$41:$C$45,MATCH($I5,Legend!$B$41:$B$45,0)),""))</f>
        <v/>
      </c>
      <c r="K5" s="23"/>
    </row>
    <row r="6">
      <c r="A6" s="21">
        <v>2.0</v>
      </c>
      <c r="B6" s="23" t="s">
        <v>36</v>
      </c>
      <c r="C6" s="23" t="s">
        <v>39</v>
      </c>
      <c r="D6" s="23" t="s">
        <v>67</v>
      </c>
      <c r="E6" s="26" t="s">
        <v>43</v>
      </c>
      <c r="F6" s="29" t="s">
        <v>46</v>
      </c>
      <c r="G6" s="30" t="s">
        <v>47</v>
      </c>
      <c r="H6" s="35" t="s">
        <v>71</v>
      </c>
      <c r="I6" s="40"/>
      <c r="J6" s="40" t="str">
        <f t="array" ref="J6">IF($I6="","",IFERROR(INDEX(Legend!$C$41:$C$45,MATCH($I6,Legend!$B$41:$B$45,0)),""))</f>
        <v/>
      </c>
      <c r="K6" s="23"/>
    </row>
    <row r="7">
      <c r="A7" s="21">
        <v>3.0</v>
      </c>
      <c r="B7" s="23" t="s">
        <v>36</v>
      </c>
      <c r="C7" s="23" t="s">
        <v>39</v>
      </c>
      <c r="D7" s="23" t="s">
        <v>80</v>
      </c>
      <c r="E7" s="26" t="s">
        <v>43</v>
      </c>
      <c r="F7" s="29" t="s">
        <v>46</v>
      </c>
      <c r="G7" s="30" t="s">
        <v>47</v>
      </c>
      <c r="H7" s="35" t="s">
        <v>82</v>
      </c>
      <c r="I7" s="40"/>
      <c r="J7" s="40" t="str">
        <f t="array" ref="J7">IF($I7="","",IFERROR(INDEX(Legend!$C$41:$C$45,MATCH($I7,Legend!$B$41:$B$45,0)),""))</f>
        <v/>
      </c>
      <c r="K7" s="23"/>
    </row>
    <row r="8">
      <c r="A8" s="21">
        <v>4.0</v>
      </c>
      <c r="B8" s="23" t="s">
        <v>36</v>
      </c>
      <c r="C8" s="23" t="s">
        <v>39</v>
      </c>
      <c r="D8" s="23" t="s">
        <v>88</v>
      </c>
      <c r="E8" s="26" t="s">
        <v>43</v>
      </c>
      <c r="F8" s="29" t="s">
        <v>46</v>
      </c>
      <c r="G8" s="30" t="s">
        <v>47</v>
      </c>
      <c r="H8" s="35"/>
      <c r="I8" s="40"/>
      <c r="J8" s="40" t="str">
        <f t="array" ref="J8">IF($I8="","",IFERROR(INDEX(Legend!$C$41:$C$45,MATCH($I8,Legend!$B$41:$B$45,0)),""))</f>
        <v/>
      </c>
      <c r="K8" s="23"/>
    </row>
    <row r="9">
      <c r="A9" s="21">
        <v>5.0</v>
      </c>
      <c r="B9" s="23" t="s">
        <v>36</v>
      </c>
      <c r="C9" s="23" t="s">
        <v>39</v>
      </c>
      <c r="D9" s="23" t="s">
        <v>94</v>
      </c>
      <c r="E9" s="26" t="s">
        <v>43</v>
      </c>
      <c r="F9" s="29" t="s">
        <v>46</v>
      </c>
      <c r="G9" s="30" t="s">
        <v>47</v>
      </c>
      <c r="H9" s="35" t="s">
        <v>95</v>
      </c>
      <c r="I9" s="40"/>
      <c r="J9" s="40" t="str">
        <f t="array" ref="J9">IF($I9="","",IFERROR(INDEX(Legend!$C$41:$C$45,MATCH($I9,Legend!$B$41:$B$45,0)),""))</f>
        <v/>
      </c>
      <c r="K9" s="23"/>
    </row>
    <row r="10">
      <c r="A10" s="21">
        <v>6.0</v>
      </c>
      <c r="B10" s="23" t="s">
        <v>36</v>
      </c>
      <c r="C10" s="23" t="s">
        <v>39</v>
      </c>
      <c r="D10" s="23" t="s">
        <v>108</v>
      </c>
      <c r="E10" s="26" t="s">
        <v>43</v>
      </c>
      <c r="F10" s="29" t="s">
        <v>46</v>
      </c>
      <c r="G10" s="30" t="s">
        <v>47</v>
      </c>
      <c r="H10" s="35"/>
      <c r="I10" s="40"/>
      <c r="J10" s="40" t="str">
        <f t="array" ref="J10">IF($I10="","",IFERROR(INDEX(Legend!$C$41:$C$45,MATCH($I10,Legend!$B$41:$B$45,0)),""))</f>
        <v/>
      </c>
      <c r="K10" s="23"/>
    </row>
    <row r="11">
      <c r="A11" s="21">
        <v>7.0</v>
      </c>
      <c r="B11" s="23" t="s">
        <v>36</v>
      </c>
      <c r="C11" s="23" t="s">
        <v>39</v>
      </c>
      <c r="D11" s="23" t="s">
        <v>120</v>
      </c>
      <c r="E11" s="26" t="s">
        <v>43</v>
      </c>
      <c r="F11" s="29" t="s">
        <v>46</v>
      </c>
      <c r="G11" s="30" t="s">
        <v>47</v>
      </c>
      <c r="H11" s="35"/>
      <c r="I11" s="40"/>
      <c r="J11" s="40" t="str">
        <f t="array" ref="J11">IF($I11="","",IFERROR(INDEX(Legend!$C$41:$C$45,MATCH($I11,Legend!$B$41:$B$45,0)),""))</f>
        <v/>
      </c>
      <c r="K11" s="23"/>
    </row>
    <row r="12">
      <c r="A12" s="21">
        <v>8.0</v>
      </c>
      <c r="B12" s="23" t="s">
        <v>36</v>
      </c>
      <c r="C12" s="23" t="s">
        <v>39</v>
      </c>
      <c r="D12" s="23" t="s">
        <v>132</v>
      </c>
      <c r="E12" s="60" t="s">
        <v>56</v>
      </c>
      <c r="F12" s="29" t="s">
        <v>46</v>
      </c>
      <c r="G12" s="30" t="s">
        <v>47</v>
      </c>
      <c r="H12" s="35"/>
      <c r="I12" s="40"/>
      <c r="J12" s="40" t="str">
        <f t="array" ref="J12">IF($I12="","",IFERROR(INDEX(Legend!$C$41:$C$45,MATCH($I12,Legend!$B$41:$B$45,0)),""))</f>
        <v/>
      </c>
      <c r="K12" s="23"/>
    </row>
    <row r="13">
      <c r="A13" s="21">
        <v>9.0</v>
      </c>
      <c r="B13" s="23" t="s">
        <v>36</v>
      </c>
      <c r="C13" s="23" t="s">
        <v>39</v>
      </c>
      <c r="D13" s="23" t="s">
        <v>145</v>
      </c>
      <c r="E13" s="26" t="s">
        <v>43</v>
      </c>
      <c r="F13" s="29" t="s">
        <v>46</v>
      </c>
      <c r="G13" s="30" t="s">
        <v>47</v>
      </c>
      <c r="H13" s="35"/>
      <c r="I13" s="40"/>
      <c r="J13" s="40" t="str">
        <f t="array" ref="J13">IF($I13="","",IFERROR(INDEX(Legend!$C$41:$C$45,MATCH($I13,Legend!$B$41:$B$45,0)),""))</f>
        <v/>
      </c>
      <c r="K13" s="23"/>
    </row>
    <row r="14">
      <c r="A14" s="21">
        <v>10.0</v>
      </c>
      <c r="B14" s="23" t="s">
        <v>36</v>
      </c>
      <c r="C14" s="23" t="s">
        <v>39</v>
      </c>
      <c r="D14" s="23" t="s">
        <v>149</v>
      </c>
      <c r="E14" s="26" t="s">
        <v>43</v>
      </c>
      <c r="F14" s="29" t="s">
        <v>46</v>
      </c>
      <c r="G14" s="30" t="s">
        <v>47</v>
      </c>
      <c r="H14" s="35" t="s">
        <v>151</v>
      </c>
      <c r="I14" s="40"/>
      <c r="J14" s="40" t="str">
        <f t="array" ref="J14">IF($I14="","",IFERROR(INDEX(Legend!$C$41:$C$45,MATCH($I14,Legend!$B$41:$B$45,0)),""))</f>
        <v/>
      </c>
      <c r="K14" s="23"/>
    </row>
    <row r="15">
      <c r="A15" s="21">
        <v>11.0</v>
      </c>
      <c r="B15" s="23" t="s">
        <v>36</v>
      </c>
      <c r="C15" s="23" t="s">
        <v>39</v>
      </c>
      <c r="D15" s="23" t="s">
        <v>156</v>
      </c>
      <c r="E15" s="26" t="s">
        <v>43</v>
      </c>
      <c r="F15" s="29" t="s">
        <v>46</v>
      </c>
      <c r="G15" s="30" t="s">
        <v>47</v>
      </c>
      <c r="H15" s="35"/>
      <c r="I15" s="40"/>
      <c r="J15" s="40" t="str">
        <f t="array" ref="J15">IF($I15="","",IFERROR(INDEX(Legend!$C$41:$C$45,MATCH($I15,Legend!$B$41:$B$45,0)),""))</f>
        <v/>
      </c>
      <c r="K15" s="23"/>
    </row>
    <row r="16">
      <c r="A16" s="21">
        <v>12.0</v>
      </c>
      <c r="B16" s="23" t="s">
        <v>36</v>
      </c>
      <c r="C16" s="23" t="s">
        <v>39</v>
      </c>
      <c r="D16" s="23" t="s">
        <v>162</v>
      </c>
      <c r="E16" s="26" t="s">
        <v>43</v>
      </c>
      <c r="F16" s="29" t="s">
        <v>46</v>
      </c>
      <c r="G16" s="30" t="s">
        <v>47</v>
      </c>
      <c r="H16" s="35"/>
      <c r="I16" s="40"/>
      <c r="J16" s="40" t="str">
        <f t="array" ref="J16">IF($I16="","",IFERROR(INDEX(Legend!$C$41:$C$45,MATCH($I16,Legend!$B$41:$B$45,0)),""))</f>
        <v/>
      </c>
      <c r="K16" s="23"/>
    </row>
    <row r="17">
      <c r="A17" s="21">
        <v>13.0</v>
      </c>
      <c r="B17" s="23" t="s">
        <v>36</v>
      </c>
      <c r="C17" s="23" t="s">
        <v>39</v>
      </c>
      <c r="D17" s="23" t="s">
        <v>167</v>
      </c>
      <c r="E17" s="26" t="s">
        <v>43</v>
      </c>
      <c r="F17" s="29" t="s">
        <v>46</v>
      </c>
      <c r="G17" s="30" t="s">
        <v>47</v>
      </c>
      <c r="H17" s="35" t="s">
        <v>169</v>
      </c>
      <c r="I17" s="40"/>
      <c r="J17" s="40" t="str">
        <f t="array" ref="J17">IF($I17="","",IFERROR(INDEX(Legend!$C$41:$C$45,MATCH($I17,Legend!$B$41:$B$45,0)),""))</f>
        <v/>
      </c>
      <c r="K17" s="23"/>
    </row>
    <row r="18">
      <c r="A18" s="21">
        <v>14.0</v>
      </c>
      <c r="B18" s="23" t="s">
        <v>36</v>
      </c>
      <c r="C18" s="23" t="s">
        <v>39</v>
      </c>
      <c r="D18" s="23" t="s">
        <v>170</v>
      </c>
      <c r="E18" s="26" t="s">
        <v>43</v>
      </c>
      <c r="F18" s="29" t="s">
        <v>46</v>
      </c>
      <c r="G18" s="30" t="s">
        <v>47</v>
      </c>
      <c r="H18" s="35"/>
      <c r="I18" s="40"/>
      <c r="J18" s="40" t="str">
        <f t="array" ref="J18">IF($I18="","",IFERROR(INDEX(Legend!$C$41:$C$45,MATCH($I18,Legend!$B$41:$B$45,0)),""))</f>
        <v/>
      </c>
      <c r="K18" s="23"/>
    </row>
    <row r="19">
      <c r="A19" s="21">
        <v>15.0</v>
      </c>
      <c r="B19" s="23" t="s">
        <v>36</v>
      </c>
      <c r="C19" s="23" t="s">
        <v>39</v>
      </c>
      <c r="D19" s="23" t="s">
        <v>173</v>
      </c>
      <c r="E19" s="26" t="s">
        <v>43</v>
      </c>
      <c r="F19" s="32" t="s">
        <v>34</v>
      </c>
      <c r="G19" s="33" t="s">
        <v>50</v>
      </c>
      <c r="H19" s="35" t="s">
        <v>174</v>
      </c>
      <c r="I19" s="40"/>
      <c r="J19" s="40" t="str">
        <f t="array" ref="J19">IF($I19="","",IFERROR(INDEX(Legend!$C$41:$C$45,MATCH($I19,Legend!$B$41:$B$45,0)),""))</f>
        <v/>
      </c>
      <c r="K19" s="23"/>
    </row>
    <row r="20">
      <c r="A20" s="21">
        <v>16.0</v>
      </c>
      <c r="B20" s="23" t="s">
        <v>36</v>
      </c>
      <c r="C20" s="23" t="s">
        <v>39</v>
      </c>
      <c r="D20" s="23" t="s">
        <v>178</v>
      </c>
      <c r="E20" s="26" t="s">
        <v>43</v>
      </c>
      <c r="F20" s="29" t="s">
        <v>46</v>
      </c>
      <c r="G20" s="30" t="s">
        <v>47</v>
      </c>
      <c r="H20" s="35"/>
      <c r="I20" s="40"/>
      <c r="J20" s="40" t="str">
        <f t="array" ref="J20">IF($I20="","",IFERROR(INDEX(Legend!$C$41:$C$45,MATCH($I20,Legend!$B$41:$B$45,0)),""))</f>
        <v/>
      </c>
      <c r="K20" s="23"/>
    </row>
    <row r="21" ht="15.75" customHeight="1">
      <c r="A21" s="21">
        <v>17.0</v>
      </c>
      <c r="B21" s="23" t="s">
        <v>36</v>
      </c>
      <c r="C21" s="23" t="s">
        <v>39</v>
      </c>
      <c r="D21" s="23" t="s">
        <v>180</v>
      </c>
      <c r="E21" s="60" t="s">
        <v>56</v>
      </c>
      <c r="F21" s="29" t="s">
        <v>46</v>
      </c>
      <c r="G21" s="30" t="s">
        <v>47</v>
      </c>
      <c r="H21" s="35"/>
      <c r="I21" s="40"/>
      <c r="J21" s="40" t="str">
        <f t="array" ref="J21">IF($I21="","",IFERROR(INDEX(Legend!$C$41:$C$45,MATCH($I21,Legend!$B$41:$B$45,0)),""))</f>
        <v/>
      </c>
      <c r="K21" s="23"/>
    </row>
    <row r="22" ht="15.75" customHeight="1">
      <c r="A22" s="21">
        <v>18.0</v>
      </c>
      <c r="B22" s="23" t="s">
        <v>36</v>
      </c>
      <c r="C22" s="23" t="s">
        <v>188</v>
      </c>
      <c r="D22" s="23" t="s">
        <v>189</v>
      </c>
      <c r="E22" s="26" t="s">
        <v>43</v>
      </c>
      <c r="F22" s="29" t="s">
        <v>46</v>
      </c>
      <c r="G22" s="30" t="s">
        <v>47</v>
      </c>
      <c r="H22" s="35" t="s">
        <v>190</v>
      </c>
      <c r="I22" s="40"/>
      <c r="J22" s="40" t="str">
        <f t="array" ref="J22">IF($I22="","",IFERROR(INDEX(Legend!$C$41:$C$45,MATCH($I22,Legend!$B$41:$B$45,0)),""))</f>
        <v/>
      </c>
      <c r="K22" s="23"/>
    </row>
    <row r="23" ht="15.75" customHeight="1">
      <c r="A23" s="21">
        <v>19.0</v>
      </c>
      <c r="B23" s="23" t="s">
        <v>36</v>
      </c>
      <c r="C23" s="23" t="s">
        <v>188</v>
      </c>
      <c r="D23" s="23" t="s">
        <v>194</v>
      </c>
      <c r="E23" s="26" t="s">
        <v>43</v>
      </c>
      <c r="F23" s="32" t="s">
        <v>34</v>
      </c>
      <c r="G23" s="33" t="s">
        <v>50</v>
      </c>
      <c r="H23" s="35" t="s">
        <v>195</v>
      </c>
      <c r="I23" s="40"/>
      <c r="J23" s="40" t="str">
        <f t="array" ref="J23">IF($I23="","",IFERROR(INDEX(Legend!$C$41:$C$45,MATCH($I23,Legend!$B$41:$B$45,0)),""))</f>
        <v/>
      </c>
      <c r="K23" s="23"/>
    </row>
    <row r="24" ht="15.75" customHeight="1">
      <c r="A24" s="21">
        <v>20.0</v>
      </c>
      <c r="B24" s="23" t="s">
        <v>36</v>
      </c>
      <c r="C24" s="23" t="s">
        <v>188</v>
      </c>
      <c r="D24" s="23" t="s">
        <v>200</v>
      </c>
      <c r="E24" s="26" t="s">
        <v>43</v>
      </c>
      <c r="F24" s="29" t="s">
        <v>46</v>
      </c>
      <c r="G24" s="30" t="s">
        <v>47</v>
      </c>
      <c r="H24" s="35" t="s">
        <v>201</v>
      </c>
      <c r="I24" s="40"/>
      <c r="J24" s="40" t="str">
        <f t="array" ref="J24">IF($I24="","",IFERROR(INDEX(Legend!$C$41:$C$45,MATCH($I24,Legend!$B$41:$B$45,0)),""))</f>
        <v/>
      </c>
      <c r="K24" s="23"/>
    </row>
    <row r="25" ht="15.75" customHeight="1">
      <c r="A25" s="21">
        <v>21.0</v>
      </c>
      <c r="B25" s="23" t="s">
        <v>36</v>
      </c>
      <c r="C25" s="23" t="s">
        <v>188</v>
      </c>
      <c r="D25" s="23" t="s">
        <v>206</v>
      </c>
      <c r="E25" s="26" t="s">
        <v>43</v>
      </c>
      <c r="F25" s="29" t="s">
        <v>46</v>
      </c>
      <c r="G25" s="30" t="s">
        <v>47</v>
      </c>
      <c r="H25" s="35"/>
      <c r="I25" s="40"/>
      <c r="J25" s="40" t="str">
        <f t="array" ref="J25">IF($I25="","",IFERROR(INDEX(Legend!$C$41:$C$45,MATCH($I25,Legend!$B$41:$B$45,0)),""))</f>
        <v/>
      </c>
      <c r="K25" s="23"/>
    </row>
    <row r="26" ht="15.75" customHeight="1">
      <c r="A26" s="21">
        <v>22.0</v>
      </c>
      <c r="B26" s="23" t="s">
        <v>36</v>
      </c>
      <c r="C26" s="23" t="s">
        <v>188</v>
      </c>
      <c r="D26" s="23" t="s">
        <v>209</v>
      </c>
      <c r="E26" s="60" t="s">
        <v>56</v>
      </c>
      <c r="F26" s="29" t="s">
        <v>46</v>
      </c>
      <c r="G26" s="30" t="s">
        <v>47</v>
      </c>
      <c r="H26" s="35" t="s">
        <v>211</v>
      </c>
      <c r="I26" s="40"/>
      <c r="J26" s="40" t="str">
        <f t="array" ref="J26">IF($I26="","",IFERROR(INDEX(Legend!$C$41:$C$45,MATCH($I26,Legend!$B$41:$B$45,0)),""))</f>
        <v/>
      </c>
      <c r="K26" s="23"/>
    </row>
    <row r="27" ht="15.75" customHeight="1">
      <c r="A27" s="21">
        <v>23.0</v>
      </c>
      <c r="B27" s="23" t="s">
        <v>36</v>
      </c>
      <c r="C27" s="23" t="s">
        <v>188</v>
      </c>
      <c r="D27" s="23" t="s">
        <v>215</v>
      </c>
      <c r="E27" s="60" t="s">
        <v>56</v>
      </c>
      <c r="F27" s="29" t="s">
        <v>46</v>
      </c>
      <c r="G27" s="30" t="s">
        <v>47</v>
      </c>
      <c r="H27" s="35"/>
      <c r="I27" s="40"/>
      <c r="J27" s="40" t="str">
        <f t="array" ref="J27">IF($I27="","",IFERROR(INDEX(Legend!$C$41:$C$45,MATCH($I27,Legend!$B$41:$B$45,0)),""))</f>
        <v/>
      </c>
      <c r="K27" s="23"/>
    </row>
    <row r="28" ht="15.75" customHeight="1">
      <c r="A28" s="21">
        <v>24.0</v>
      </c>
      <c r="B28" s="23" t="s">
        <v>36</v>
      </c>
      <c r="C28" s="23" t="s">
        <v>188</v>
      </c>
      <c r="D28" s="23" t="s">
        <v>224</v>
      </c>
      <c r="E28" s="26" t="s">
        <v>43</v>
      </c>
      <c r="F28" s="29" t="s">
        <v>46</v>
      </c>
      <c r="G28" s="30" t="s">
        <v>47</v>
      </c>
      <c r="H28" s="35"/>
      <c r="I28" s="40"/>
      <c r="J28" s="40" t="str">
        <f t="array" ref="J28">IF($I28="","",IFERROR(INDEX(Legend!$C$41:$C$45,MATCH($I28,Legend!$B$41:$B$45,0)),""))</f>
        <v/>
      </c>
      <c r="K28" s="23"/>
    </row>
    <row r="29" ht="15.75" customHeight="1">
      <c r="A29" s="21">
        <v>25.0</v>
      </c>
      <c r="B29" s="23" t="s">
        <v>36</v>
      </c>
      <c r="C29" s="23" t="s">
        <v>188</v>
      </c>
      <c r="D29" s="23" t="s">
        <v>228</v>
      </c>
      <c r="E29" s="60" t="s">
        <v>56</v>
      </c>
      <c r="F29" s="29" t="s">
        <v>46</v>
      </c>
      <c r="G29" s="30" t="s">
        <v>47</v>
      </c>
      <c r="H29" s="35"/>
      <c r="I29" s="40"/>
      <c r="J29" s="40" t="str">
        <f t="array" ref="J29">IF($I29="","",IFERROR(INDEX(Legend!$C$41:$C$45,MATCH($I29,Legend!$B$41:$B$45,0)),""))</f>
        <v/>
      </c>
      <c r="K29" s="23"/>
    </row>
    <row r="30" ht="15.75" customHeight="1">
      <c r="A30" s="21">
        <v>26.0</v>
      </c>
      <c r="B30" s="23" t="s">
        <v>36</v>
      </c>
      <c r="C30" s="23" t="s">
        <v>188</v>
      </c>
      <c r="D30" s="23" t="s">
        <v>235</v>
      </c>
      <c r="E30" s="26" t="s">
        <v>43</v>
      </c>
      <c r="F30" s="29" t="s">
        <v>46</v>
      </c>
      <c r="G30" s="30" t="s">
        <v>47</v>
      </c>
      <c r="H30" s="35"/>
      <c r="I30" s="40"/>
      <c r="J30" s="40" t="str">
        <f t="array" ref="J30">IF($I30="","",IFERROR(INDEX(Legend!$C$41:$C$45,MATCH($I30,Legend!$B$41:$B$45,0)),""))</f>
        <v/>
      </c>
      <c r="K30" s="23"/>
    </row>
    <row r="31" ht="15.75" customHeight="1">
      <c r="A31" s="21">
        <v>27.0</v>
      </c>
      <c r="B31" s="23" t="s">
        <v>36</v>
      </c>
      <c r="C31" s="23" t="s">
        <v>188</v>
      </c>
      <c r="D31" s="23" t="s">
        <v>240</v>
      </c>
      <c r="E31" s="26" t="s">
        <v>43</v>
      </c>
      <c r="F31" s="29" t="s">
        <v>46</v>
      </c>
      <c r="G31" s="30" t="s">
        <v>47</v>
      </c>
      <c r="H31" s="35"/>
      <c r="I31" s="40"/>
      <c r="J31" s="40" t="str">
        <f t="array" ref="J31">IF($I31="","",IFERROR(INDEX(Legend!$C$41:$C$45,MATCH($I31,Legend!$B$41:$B$45,0)),""))</f>
        <v/>
      </c>
      <c r="K31" s="23"/>
    </row>
    <row r="32" ht="15.75" customHeight="1">
      <c r="A32" s="21">
        <v>28.0</v>
      </c>
      <c r="B32" s="23" t="s">
        <v>36</v>
      </c>
      <c r="C32" s="23" t="s">
        <v>188</v>
      </c>
      <c r="D32" s="23" t="s">
        <v>243</v>
      </c>
      <c r="E32" s="60" t="s">
        <v>56</v>
      </c>
      <c r="F32" s="29" t="s">
        <v>46</v>
      </c>
      <c r="G32" s="30" t="s">
        <v>47</v>
      </c>
      <c r="H32" s="35"/>
      <c r="I32" s="40"/>
      <c r="J32" s="40" t="str">
        <f t="array" ref="J32">IF($I32="","",IFERROR(INDEX(Legend!$C$41:$C$45,MATCH($I32,Legend!$B$41:$B$45,0)),""))</f>
        <v/>
      </c>
      <c r="K32" s="23"/>
    </row>
    <row r="33" ht="15.75" customHeight="1">
      <c r="A33" s="21">
        <v>29.0</v>
      </c>
      <c r="B33" s="23" t="s">
        <v>36</v>
      </c>
      <c r="C33" s="23" t="s">
        <v>188</v>
      </c>
      <c r="D33" s="23" t="s">
        <v>248</v>
      </c>
      <c r="E33" s="60" t="s">
        <v>56</v>
      </c>
      <c r="F33" s="29" t="s">
        <v>46</v>
      </c>
      <c r="G33" s="30" t="s">
        <v>47</v>
      </c>
      <c r="H33" s="35" t="s">
        <v>249</v>
      </c>
      <c r="I33" s="40"/>
      <c r="J33" s="40" t="str">
        <f t="array" ref="J33">IF($I33="","",IFERROR(INDEX(Legend!$C$41:$C$45,MATCH($I33,Legend!$B$41:$B$45,0)),""))</f>
        <v/>
      </c>
      <c r="K33" s="23"/>
    </row>
    <row r="34" ht="15.75" customHeight="1">
      <c r="A34" s="21">
        <v>30.0</v>
      </c>
      <c r="B34" s="23" t="s">
        <v>36</v>
      </c>
      <c r="C34" s="23" t="s">
        <v>188</v>
      </c>
      <c r="D34" s="23" t="s">
        <v>256</v>
      </c>
      <c r="E34" s="60" t="s">
        <v>56</v>
      </c>
      <c r="F34" s="29" t="s">
        <v>46</v>
      </c>
      <c r="G34" s="30" t="s">
        <v>47</v>
      </c>
      <c r="H34" s="35"/>
      <c r="I34" s="40"/>
      <c r="J34" s="40" t="str">
        <f t="array" ref="J34">IF($I34="","",IFERROR(INDEX(Legend!$C$41:$C$45,MATCH($I34,Legend!$B$41:$B$45,0)),""))</f>
        <v/>
      </c>
      <c r="K34" s="23"/>
    </row>
    <row r="35" ht="15.75" customHeight="1">
      <c r="A35" s="21">
        <v>31.0</v>
      </c>
      <c r="B35" s="23" t="s">
        <v>36</v>
      </c>
      <c r="C35" s="23" t="s">
        <v>188</v>
      </c>
      <c r="D35" s="23" t="s">
        <v>260</v>
      </c>
      <c r="E35" s="60" t="s">
        <v>56</v>
      </c>
      <c r="F35" s="29" t="s">
        <v>46</v>
      </c>
      <c r="G35" s="30" t="s">
        <v>47</v>
      </c>
      <c r="H35" s="35" t="s">
        <v>263</v>
      </c>
      <c r="I35" s="40"/>
      <c r="J35" s="40" t="str">
        <f t="array" ref="J35">IF($I35="","",IFERROR(INDEX(Legend!$C$41:$C$45,MATCH($I35,Legend!$B$41:$B$45,0)),""))</f>
        <v/>
      </c>
      <c r="K35" s="23"/>
    </row>
    <row r="36" ht="15.75" customHeight="1">
      <c r="A36" s="21">
        <v>32.0</v>
      </c>
      <c r="B36" s="23" t="s">
        <v>36</v>
      </c>
      <c r="C36" s="23" t="s">
        <v>188</v>
      </c>
      <c r="D36" s="23" t="s">
        <v>270</v>
      </c>
      <c r="E36" s="26" t="s">
        <v>43</v>
      </c>
      <c r="F36" s="29" t="s">
        <v>46</v>
      </c>
      <c r="G36" s="30" t="s">
        <v>47</v>
      </c>
      <c r="H36" s="35" t="s">
        <v>271</v>
      </c>
      <c r="I36" s="40"/>
      <c r="J36" s="40" t="str">
        <f t="array" ref="J36">IF($I36="","",IFERROR(INDEX(Legend!$C$41:$C$45,MATCH($I36,Legend!$B$41:$B$45,0)),""))</f>
        <v/>
      </c>
      <c r="K36" s="23"/>
    </row>
    <row r="37" ht="15.75" customHeight="1">
      <c r="A37" s="21">
        <v>33.0</v>
      </c>
      <c r="B37" s="23" t="s">
        <v>36</v>
      </c>
      <c r="C37" s="23" t="s">
        <v>278</v>
      </c>
      <c r="D37" s="23" t="s">
        <v>279</v>
      </c>
      <c r="E37" s="26" t="s">
        <v>43</v>
      </c>
      <c r="F37" s="32" t="s">
        <v>34</v>
      </c>
      <c r="G37" s="33" t="s">
        <v>50</v>
      </c>
      <c r="H37" s="35" t="s">
        <v>281</v>
      </c>
      <c r="I37" s="40"/>
      <c r="J37" s="40" t="str">
        <f t="array" ref="J37">IF($I37="","",IFERROR(INDEX(Legend!$C$41:$C$45,MATCH($I37,Legend!$B$41:$B$45,0)),""))</f>
        <v/>
      </c>
      <c r="K37" s="23"/>
    </row>
    <row r="38" ht="15.75" customHeight="1">
      <c r="A38" s="21">
        <v>34.0</v>
      </c>
      <c r="B38" s="23" t="s">
        <v>36</v>
      </c>
      <c r="C38" s="23" t="s">
        <v>278</v>
      </c>
      <c r="D38" s="23" t="s">
        <v>288</v>
      </c>
      <c r="E38" s="26" t="s">
        <v>43</v>
      </c>
      <c r="F38" s="29" t="s">
        <v>46</v>
      </c>
      <c r="G38" s="30" t="s">
        <v>47</v>
      </c>
      <c r="H38" s="35"/>
      <c r="I38" s="40"/>
      <c r="J38" s="40" t="str">
        <f t="array" ref="J38">IF($I38="","",IFERROR(INDEX(Legend!$C$41:$C$45,MATCH($I38,Legend!$B$41:$B$45,0)),""))</f>
        <v/>
      </c>
      <c r="K38" s="23"/>
    </row>
    <row r="39" ht="15.75" customHeight="1">
      <c r="A39" s="21">
        <v>35.0</v>
      </c>
      <c r="B39" s="23" t="s">
        <v>36</v>
      </c>
      <c r="C39" s="23" t="s">
        <v>278</v>
      </c>
      <c r="D39" s="23" t="s">
        <v>294</v>
      </c>
      <c r="E39" s="26" t="s">
        <v>43</v>
      </c>
      <c r="F39" s="29" t="s">
        <v>46</v>
      </c>
      <c r="G39" s="30" t="s">
        <v>47</v>
      </c>
      <c r="H39" s="35"/>
      <c r="I39" s="40"/>
      <c r="J39" s="40" t="str">
        <f t="array" ref="J39">IF($I39="","",IFERROR(INDEX(Legend!$C$41:$C$45,MATCH($I39,Legend!$B$41:$B$45,0)),""))</f>
        <v/>
      </c>
      <c r="K39" s="23"/>
    </row>
    <row r="40" ht="15.75" customHeight="1">
      <c r="A40" s="21">
        <v>36.0</v>
      </c>
      <c r="B40" s="23" t="s">
        <v>36</v>
      </c>
      <c r="C40" s="23" t="s">
        <v>278</v>
      </c>
      <c r="D40" s="23" t="s">
        <v>298</v>
      </c>
      <c r="E40" s="26" t="s">
        <v>43</v>
      </c>
      <c r="F40" s="32" t="s">
        <v>34</v>
      </c>
      <c r="G40" s="33" t="s">
        <v>50</v>
      </c>
      <c r="H40" s="35" t="s">
        <v>299</v>
      </c>
      <c r="I40" s="40"/>
      <c r="J40" s="40" t="str">
        <f t="array" ref="J40">IF($I40="","",IFERROR(INDEX(Legend!$C$41:$C$45,MATCH($I40,Legend!$B$41:$B$45,0)),""))</f>
        <v/>
      </c>
      <c r="K40" s="23"/>
    </row>
    <row r="41" ht="15.75" customHeight="1">
      <c r="A41" s="21">
        <v>37.0</v>
      </c>
      <c r="B41" s="23" t="s">
        <v>36</v>
      </c>
      <c r="C41" s="23" t="s">
        <v>278</v>
      </c>
      <c r="D41" s="23" t="s">
        <v>308</v>
      </c>
      <c r="E41" s="60" t="s">
        <v>56</v>
      </c>
      <c r="F41" s="29" t="s">
        <v>46</v>
      </c>
      <c r="G41" s="30" t="s">
        <v>47</v>
      </c>
      <c r="H41" s="35"/>
      <c r="I41" s="40"/>
      <c r="J41" s="40" t="str">
        <f t="array" ref="J41">IF($I41="","",IFERROR(INDEX(Legend!$C$41:$C$45,MATCH($I41,Legend!$B$41:$B$45,0)),""))</f>
        <v/>
      </c>
      <c r="K41" s="23"/>
    </row>
    <row r="42" ht="15.75" customHeight="1">
      <c r="A42" s="21">
        <v>38.0</v>
      </c>
      <c r="B42" s="23" t="s">
        <v>36</v>
      </c>
      <c r="C42" s="23" t="s">
        <v>278</v>
      </c>
      <c r="D42" s="23" t="s">
        <v>318</v>
      </c>
      <c r="E42" s="26" t="s">
        <v>43</v>
      </c>
      <c r="F42" s="29" t="s">
        <v>46</v>
      </c>
      <c r="G42" s="30" t="s">
        <v>47</v>
      </c>
      <c r="H42" s="35" t="s">
        <v>320</v>
      </c>
      <c r="I42" s="40"/>
      <c r="J42" s="40" t="str">
        <f t="array" ref="J42">IF($I42="","",IFERROR(INDEX(Legend!$C$41:$C$45,MATCH($I42,Legend!$B$41:$B$45,0)),""))</f>
        <v/>
      </c>
      <c r="K42" s="23"/>
    </row>
    <row r="43" ht="15.75" customHeight="1">
      <c r="A43" s="21">
        <v>39.0</v>
      </c>
      <c r="B43" s="23" t="s">
        <v>36</v>
      </c>
      <c r="C43" s="23" t="s">
        <v>278</v>
      </c>
      <c r="D43" s="23" t="s">
        <v>326</v>
      </c>
      <c r="E43" s="26" t="s">
        <v>43</v>
      </c>
      <c r="F43" s="29" t="s">
        <v>46</v>
      </c>
      <c r="G43" s="30" t="s">
        <v>47</v>
      </c>
      <c r="H43" s="35"/>
      <c r="I43" s="40"/>
      <c r="J43" s="40" t="str">
        <f t="array" ref="J43">IF($I43="","",IFERROR(INDEX(Legend!$C$41:$C$45,MATCH($I43,Legend!$B$41:$B$45,0)),""))</f>
        <v/>
      </c>
      <c r="K43" s="23"/>
    </row>
    <row r="44" ht="15.75" customHeight="1">
      <c r="A44" s="21">
        <v>40.0</v>
      </c>
      <c r="B44" s="23" t="s">
        <v>36</v>
      </c>
      <c r="C44" s="23" t="s">
        <v>278</v>
      </c>
      <c r="D44" s="23" t="s">
        <v>332</v>
      </c>
      <c r="E44" s="26" t="s">
        <v>43</v>
      </c>
      <c r="F44" s="32" t="s">
        <v>34</v>
      </c>
      <c r="G44" s="33" t="s">
        <v>50</v>
      </c>
      <c r="H44" s="35"/>
      <c r="I44" s="40"/>
      <c r="J44" s="40" t="str">
        <f t="array" ref="J44">IF($I44="","",IFERROR(INDEX(Legend!$C$41:$C$45,MATCH($I44,Legend!$B$41:$B$45,0)),""))</f>
        <v/>
      </c>
      <c r="K44" s="23"/>
    </row>
    <row r="45" ht="15.75" customHeight="1">
      <c r="A45" s="21">
        <v>41.0</v>
      </c>
      <c r="B45" s="23" t="s">
        <v>36</v>
      </c>
      <c r="C45" s="23" t="s">
        <v>278</v>
      </c>
      <c r="D45" s="23" t="s">
        <v>337</v>
      </c>
      <c r="E45" s="26" t="s">
        <v>43</v>
      </c>
      <c r="F45" s="26" t="s">
        <v>77</v>
      </c>
      <c r="G45" s="33" t="s">
        <v>50</v>
      </c>
      <c r="H45" s="35" t="s">
        <v>338</v>
      </c>
      <c r="I45" s="40"/>
      <c r="J45" s="40" t="str">
        <f t="array" ref="J45">IF($I45="","",IFERROR(INDEX(Legend!$C$41:$C$45,MATCH($I45,Legend!$B$41:$B$45,0)),""))</f>
        <v/>
      </c>
      <c r="K45" s="23"/>
    </row>
    <row r="46" ht="15.75" customHeight="1">
      <c r="A46" s="21">
        <v>42.0</v>
      </c>
      <c r="B46" s="23" t="s">
        <v>36</v>
      </c>
      <c r="C46" s="23" t="s">
        <v>278</v>
      </c>
      <c r="D46" s="23" t="s">
        <v>344</v>
      </c>
      <c r="E46" s="60" t="s">
        <v>56</v>
      </c>
      <c r="F46" s="29" t="s">
        <v>46</v>
      </c>
      <c r="G46" s="30" t="s">
        <v>47</v>
      </c>
      <c r="H46" s="35"/>
      <c r="I46" s="40"/>
      <c r="J46" s="40" t="str">
        <f t="array" ref="J46">IF($I46="","",IFERROR(INDEX(Legend!$C$41:$C$45,MATCH($I46,Legend!$B$41:$B$45,0)),""))</f>
        <v/>
      </c>
      <c r="K46" s="23"/>
    </row>
    <row r="47" ht="15.75" customHeight="1">
      <c r="A47" s="21">
        <v>43.0</v>
      </c>
      <c r="B47" s="23" t="s">
        <v>36</v>
      </c>
      <c r="C47" s="23" t="s">
        <v>278</v>
      </c>
      <c r="D47" s="23" t="s">
        <v>351</v>
      </c>
      <c r="E47" s="26" t="s">
        <v>43</v>
      </c>
      <c r="F47" s="29" t="s">
        <v>46</v>
      </c>
      <c r="G47" s="30" t="s">
        <v>47</v>
      </c>
      <c r="H47" s="35"/>
      <c r="I47" s="40"/>
      <c r="J47" s="40" t="str">
        <f t="array" ref="J47">IF($I47="","",IFERROR(INDEX(Legend!$C$41:$C$45,MATCH($I47,Legend!$B$41:$B$45,0)),""))</f>
        <v/>
      </c>
      <c r="K47" s="23"/>
    </row>
    <row r="48" ht="15.75" customHeight="1">
      <c r="A48" s="21">
        <v>44.0</v>
      </c>
      <c r="B48" s="23" t="s">
        <v>36</v>
      </c>
      <c r="C48" s="23" t="s">
        <v>278</v>
      </c>
      <c r="D48" s="23" t="s">
        <v>355</v>
      </c>
      <c r="E48" s="60" t="s">
        <v>56</v>
      </c>
      <c r="F48" s="29" t="s">
        <v>46</v>
      </c>
      <c r="G48" s="30" t="s">
        <v>47</v>
      </c>
      <c r="H48" s="35"/>
      <c r="I48" s="40"/>
      <c r="J48" s="40" t="str">
        <f t="array" ref="J48">IF($I48="","",IFERROR(INDEX(Legend!$C$41:$C$45,MATCH($I48,Legend!$B$41:$B$45,0)),""))</f>
        <v/>
      </c>
      <c r="K48" s="23"/>
    </row>
    <row r="49" ht="15.75" customHeight="1">
      <c r="A49" s="21">
        <v>45.0</v>
      </c>
      <c r="B49" s="23" t="s">
        <v>36</v>
      </c>
      <c r="C49" s="23" t="s">
        <v>278</v>
      </c>
      <c r="D49" s="23" t="s">
        <v>362</v>
      </c>
      <c r="E49" s="26" t="s">
        <v>43</v>
      </c>
      <c r="F49" s="32" t="s">
        <v>34</v>
      </c>
      <c r="G49" s="33" t="s">
        <v>50</v>
      </c>
      <c r="H49" s="35" t="s">
        <v>363</v>
      </c>
      <c r="I49" s="40"/>
      <c r="J49" s="40" t="str">
        <f t="array" ref="J49">IF($I49="","",IFERROR(INDEX(Legend!$C$41:$C$45,MATCH($I49,Legend!$B$41:$B$45,0)),""))</f>
        <v/>
      </c>
      <c r="K49" s="23"/>
    </row>
    <row r="50" ht="15.75" customHeight="1">
      <c r="A50" s="21">
        <v>46.0</v>
      </c>
      <c r="B50" s="23" t="s">
        <v>36</v>
      </c>
      <c r="C50" s="23" t="s">
        <v>278</v>
      </c>
      <c r="D50" s="23" t="s">
        <v>368</v>
      </c>
      <c r="E50" s="26" t="s">
        <v>43</v>
      </c>
      <c r="F50" s="32" t="s">
        <v>34</v>
      </c>
      <c r="G50" s="33" t="s">
        <v>50</v>
      </c>
      <c r="H50" s="35"/>
      <c r="I50" s="40"/>
      <c r="J50" s="40" t="str">
        <f t="array" ref="J50">IF($I50="","",IFERROR(INDEX(Legend!$C$41:$C$45,MATCH($I50,Legend!$B$41:$B$45,0)),""))</f>
        <v/>
      </c>
      <c r="K50" s="23"/>
    </row>
    <row r="51" ht="15.75" customHeight="1">
      <c r="A51" s="21">
        <v>47.0</v>
      </c>
      <c r="B51" s="23" t="s">
        <v>36</v>
      </c>
      <c r="C51" s="23" t="s">
        <v>278</v>
      </c>
      <c r="D51" s="23" t="s">
        <v>373</v>
      </c>
      <c r="E51" s="26" t="s">
        <v>43</v>
      </c>
      <c r="F51" s="32" t="s">
        <v>34</v>
      </c>
      <c r="G51" s="33" t="s">
        <v>50</v>
      </c>
      <c r="H51" s="35" t="s">
        <v>374</v>
      </c>
      <c r="I51" s="40"/>
      <c r="J51" s="40" t="str">
        <f t="array" ref="J51">IF($I51="","",IFERROR(INDEX(Legend!$C$41:$C$45,MATCH($I51,Legend!$B$41:$B$45,0)),""))</f>
        <v/>
      </c>
      <c r="K51" s="23"/>
    </row>
    <row r="52" ht="15.75" customHeight="1">
      <c r="A52" s="21">
        <v>48.0</v>
      </c>
      <c r="B52" s="23" t="s">
        <v>36</v>
      </c>
      <c r="C52" s="23" t="s">
        <v>278</v>
      </c>
      <c r="D52" s="23" t="s">
        <v>379</v>
      </c>
      <c r="E52" s="26" t="s">
        <v>43</v>
      </c>
      <c r="F52" s="29" t="s">
        <v>46</v>
      </c>
      <c r="G52" s="30" t="s">
        <v>47</v>
      </c>
      <c r="H52" s="35"/>
      <c r="I52" s="40"/>
      <c r="J52" s="40" t="str">
        <f t="array" ref="J52">IF($I52="","",IFERROR(INDEX(Legend!$C$41:$C$45,MATCH($I52,Legend!$B$41:$B$45,0)),""))</f>
        <v/>
      </c>
      <c r="K52" s="23"/>
    </row>
    <row r="53" ht="15.75" customHeight="1">
      <c r="A53" s="21">
        <v>49.0</v>
      </c>
      <c r="B53" s="23" t="s">
        <v>36</v>
      </c>
      <c r="C53" s="23" t="s">
        <v>278</v>
      </c>
      <c r="D53" s="23" t="s">
        <v>384</v>
      </c>
      <c r="E53" s="26" t="s">
        <v>43</v>
      </c>
      <c r="F53" s="29" t="s">
        <v>46</v>
      </c>
      <c r="G53" s="30" t="s">
        <v>47</v>
      </c>
      <c r="H53" s="35"/>
      <c r="I53" s="40"/>
      <c r="J53" s="40" t="str">
        <f t="array" ref="J53">IF($I53="","",IFERROR(INDEX(Legend!$C$41:$C$45,MATCH($I53,Legend!$B$41:$B$45,0)),""))</f>
        <v/>
      </c>
      <c r="K53" s="23"/>
    </row>
    <row r="54" ht="15.75" customHeight="1">
      <c r="A54" s="21">
        <v>50.0</v>
      </c>
      <c r="B54" s="23" t="s">
        <v>36</v>
      </c>
      <c r="C54" s="23" t="s">
        <v>389</v>
      </c>
      <c r="D54" s="23" t="s">
        <v>391</v>
      </c>
      <c r="E54" s="60" t="s">
        <v>56</v>
      </c>
      <c r="F54" s="29" t="s">
        <v>46</v>
      </c>
      <c r="G54" s="30" t="s">
        <v>47</v>
      </c>
      <c r="H54" s="35"/>
      <c r="I54" s="40"/>
      <c r="J54" s="40" t="str">
        <f t="array" ref="J54">IF($I54="","",IFERROR(INDEX(Legend!$C$41:$C$45,MATCH($I54,Legend!$B$41:$B$45,0)),""))</f>
        <v/>
      </c>
      <c r="K54" s="23"/>
    </row>
    <row r="55" ht="15.75" customHeight="1">
      <c r="A55" s="21">
        <v>51.0</v>
      </c>
      <c r="B55" s="23" t="s">
        <v>36</v>
      </c>
      <c r="C55" s="23" t="s">
        <v>389</v>
      </c>
      <c r="D55" s="23" t="s">
        <v>397</v>
      </c>
      <c r="E55" s="60" t="s">
        <v>56</v>
      </c>
      <c r="F55" s="29" t="s">
        <v>46</v>
      </c>
      <c r="G55" s="30" t="s">
        <v>47</v>
      </c>
      <c r="H55" s="35"/>
      <c r="I55" s="40"/>
      <c r="J55" s="40" t="str">
        <f t="array" ref="J55">IF($I55="","",IFERROR(INDEX(Legend!$C$41:$C$45,MATCH($I55,Legend!$B$41:$B$45,0)),""))</f>
        <v/>
      </c>
      <c r="K55" s="23"/>
    </row>
    <row r="56" ht="15.75" customHeight="1">
      <c r="A56" s="21">
        <v>52.0</v>
      </c>
      <c r="B56" s="23" t="s">
        <v>36</v>
      </c>
      <c r="C56" s="23" t="s">
        <v>389</v>
      </c>
      <c r="D56" s="23" t="s">
        <v>402</v>
      </c>
      <c r="E56" s="60" t="s">
        <v>56</v>
      </c>
      <c r="F56" s="29" t="s">
        <v>46</v>
      </c>
      <c r="G56" s="30" t="s">
        <v>47</v>
      </c>
      <c r="H56" s="35"/>
      <c r="I56" s="40"/>
      <c r="J56" s="40" t="str">
        <f t="array" ref="J56">IF($I56="","",IFERROR(INDEX(Legend!$C$41:$C$45,MATCH($I56,Legend!$B$41:$B$45,0)),""))</f>
        <v/>
      </c>
      <c r="K56" s="23"/>
    </row>
    <row r="57" ht="15.75" customHeight="1">
      <c r="A57" s="21">
        <v>53.0</v>
      </c>
      <c r="B57" s="23" t="s">
        <v>36</v>
      </c>
      <c r="C57" s="23" t="s">
        <v>406</v>
      </c>
      <c r="D57" s="23" t="s">
        <v>407</v>
      </c>
      <c r="E57" s="60" t="s">
        <v>56</v>
      </c>
      <c r="F57" s="29" t="s">
        <v>46</v>
      </c>
      <c r="G57" s="30" t="s">
        <v>47</v>
      </c>
      <c r="H57" s="35"/>
      <c r="I57" s="40"/>
      <c r="J57" s="40" t="str">
        <f t="array" ref="J57">IF($I57="","",IFERROR(INDEX(Legend!$C$41:$C$45,MATCH($I57,Legend!$B$41:$B$45,0)),""))</f>
        <v/>
      </c>
      <c r="K57" s="23"/>
    </row>
    <row r="58" ht="15.75" customHeight="1">
      <c r="A58" s="21">
        <v>54.0</v>
      </c>
      <c r="B58" s="23" t="s">
        <v>36</v>
      </c>
      <c r="C58" s="23" t="s">
        <v>406</v>
      </c>
      <c r="D58" s="23" t="s">
        <v>414</v>
      </c>
      <c r="E58" s="60" t="s">
        <v>56</v>
      </c>
      <c r="F58" s="29" t="s">
        <v>46</v>
      </c>
      <c r="G58" s="30" t="s">
        <v>47</v>
      </c>
      <c r="H58" s="35"/>
      <c r="I58" s="40"/>
      <c r="J58" s="40" t="str">
        <f t="array" ref="J58">IF($I58="","",IFERROR(INDEX(Legend!$C$41:$C$45,MATCH($I58,Legend!$B$41:$B$45,0)),""))</f>
        <v/>
      </c>
      <c r="K58" s="23"/>
    </row>
    <row r="59" ht="15.75" customHeight="1">
      <c r="A59" s="21">
        <v>55.0</v>
      </c>
      <c r="B59" s="23" t="s">
        <v>36</v>
      </c>
      <c r="C59" s="23" t="s">
        <v>421</v>
      </c>
      <c r="D59" s="23" t="s">
        <v>422</v>
      </c>
      <c r="E59" s="60" t="s">
        <v>56</v>
      </c>
      <c r="F59" s="29" t="s">
        <v>46</v>
      </c>
      <c r="G59" s="30" t="s">
        <v>47</v>
      </c>
      <c r="H59" s="35"/>
      <c r="I59" s="40"/>
      <c r="J59" s="40" t="str">
        <f t="array" ref="J59">IF($I59="","",IFERROR(INDEX(Legend!$C$41:$C$45,MATCH($I59,Legend!$B$41:$B$45,0)),""))</f>
        <v/>
      </c>
      <c r="K59" s="23"/>
    </row>
    <row r="60" ht="15.75" customHeight="1">
      <c r="A60" s="21">
        <v>56.0</v>
      </c>
      <c r="B60" s="23" t="s">
        <v>36</v>
      </c>
      <c r="C60" s="23" t="s">
        <v>421</v>
      </c>
      <c r="D60" s="23" t="s">
        <v>426</v>
      </c>
      <c r="E60" s="60" t="s">
        <v>56</v>
      </c>
      <c r="F60" s="29" t="s">
        <v>46</v>
      </c>
      <c r="G60" s="30" t="s">
        <v>47</v>
      </c>
      <c r="H60" s="35"/>
      <c r="I60" s="40"/>
      <c r="J60" s="40" t="str">
        <f t="array" ref="J60">IF($I60="","",IFERROR(INDEX(Legend!$C$41:$C$45,MATCH($I60,Legend!$B$41:$B$45,0)),""))</f>
        <v/>
      </c>
      <c r="K60" s="23"/>
    </row>
    <row r="61" ht="15.75" customHeight="1">
      <c r="A61" s="21">
        <v>57.0</v>
      </c>
      <c r="B61" s="23" t="s">
        <v>36</v>
      </c>
      <c r="C61" s="23" t="s">
        <v>421</v>
      </c>
      <c r="D61" s="23" t="s">
        <v>430</v>
      </c>
      <c r="E61" s="60" t="s">
        <v>56</v>
      </c>
      <c r="F61" s="29" t="s">
        <v>46</v>
      </c>
      <c r="G61" s="30" t="s">
        <v>47</v>
      </c>
      <c r="H61" s="35"/>
      <c r="I61" s="40"/>
      <c r="J61" s="40" t="str">
        <f t="array" ref="J61">IF($I61="","",IFERROR(INDEX(Legend!$C$41:$C$45,MATCH($I61,Legend!$B$41:$B$45,0)),""))</f>
        <v/>
      </c>
      <c r="K61" s="23"/>
    </row>
    <row r="62" ht="15.75" customHeight="1">
      <c r="A62" s="21">
        <v>58.0</v>
      </c>
      <c r="B62" s="23" t="s">
        <v>36</v>
      </c>
      <c r="C62" s="23" t="s">
        <v>421</v>
      </c>
      <c r="D62" s="23" t="s">
        <v>435</v>
      </c>
      <c r="E62" s="60" t="s">
        <v>56</v>
      </c>
      <c r="F62" s="29" t="s">
        <v>46</v>
      </c>
      <c r="G62" s="30" t="s">
        <v>47</v>
      </c>
      <c r="H62" s="35"/>
      <c r="I62" s="40"/>
      <c r="J62" s="40" t="str">
        <f t="array" ref="J62">IF($I62="","",IFERROR(INDEX(Legend!$C$41:$C$45,MATCH($I62,Legend!$B$41:$B$45,0)),""))</f>
        <v/>
      </c>
      <c r="K62" s="2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62"/>
  <mergeCells count="5">
    <mergeCell ref="A1:K1"/>
    <mergeCell ref="A2:K2"/>
    <mergeCell ref="A3:B3"/>
    <mergeCell ref="E3:G3"/>
    <mergeCell ref="I3:J3"/>
  </mergeCells>
  <conditionalFormatting sqref="I5:I62">
    <cfRule type="cellIs" dxfId="0" priority="1" operator="equal">
      <formula>"Not started"</formula>
    </cfRule>
  </conditionalFormatting>
  <conditionalFormatting sqref="I5:I62">
    <cfRule type="cellIs" dxfId="1" priority="2" operator="equal">
      <formula>"Learning"</formula>
    </cfRule>
  </conditionalFormatting>
  <conditionalFormatting sqref="I5:I62">
    <cfRule type="cellIs" dxfId="2" priority="3" operator="equal">
      <formula>"Can build"</formula>
    </cfRule>
  </conditionalFormatting>
  <conditionalFormatting sqref="I5:I62">
    <cfRule type="cellIs" dxfId="3" priority="4" operator="equal">
      <formula>"Can debug"</formula>
    </cfRule>
  </conditionalFormatting>
  <conditionalFormatting sqref="I5:I62">
    <cfRule type="cellIs" dxfId="4" priority="5" operator="equal">
      <formula>"Solid"</formula>
    </cfRule>
  </conditionalFormatting>
  <conditionalFormatting sqref="J5:J62">
    <cfRule type="colorScale" priority="6">
      <colorScale>
        <cfvo type="formula" val="0"/>
        <cfvo type="formula" val="2"/>
        <cfvo type="formula" val="4"/>
        <color rgb="FFF8D7DA"/>
        <color rgb="FFFFF3CD"/>
        <color rgb="FFC9EAD5"/>
      </colorScale>
    </cfRule>
  </conditionalFormatting>
  <dataValidations>
    <dataValidation type="list" allowBlank="1" sqref="I5:I62">
      <formula1>"Not started,Learning,Can build,Can debug,Solid"</formula1>
    </dataValidation>
  </dataValidations>
  <hyperlinks>
    <hyperlink display="Legend" location="Legend!A1" ref="A3"/>
    <hyperlink display="Core 0–5" location="'Core Syllabus'!A1" ref="C3"/>
    <hyperlink display="Branches" location="'Role Branches'!A1" ref="E3"/>
    <hyperlink display="Drills" location="'Interview Drills'!A1" ref="H3"/>
    <hyperlink display="Courses" location="'Course Map'!A1" ref="I3"/>
    <hyperlink display="Dashboard" location="Dashboard!A1" ref="K3"/>
  </hyperlink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A4A06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3" width="30.0"/>
    <col customWidth="1" min="4" max="4" width="50.0"/>
    <col customWidth="1" min="5" max="5" width="8.0"/>
    <col customWidth="1" min="6" max="6" width="7.0"/>
    <col customWidth="1" min="7" max="7" width="9.0"/>
    <col customWidth="1" min="8" max="8" width="66.0"/>
    <col customWidth="1" min="9" max="9" width="14.0"/>
    <col customWidth="1" min="10" max="10" width="7.0"/>
    <col customWidth="1" min="11" max="11" width="30.0"/>
    <col customWidth="1" min="12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5.5" customHeight="1">
      <c r="A3" s="10" t="s">
        <v>9</v>
      </c>
      <c r="B3" s="9"/>
      <c r="C3" s="12" t="s">
        <v>10</v>
      </c>
      <c r="D3" s="12" t="s">
        <v>12</v>
      </c>
      <c r="E3" s="14" t="s">
        <v>14</v>
      </c>
      <c r="F3" s="15"/>
      <c r="G3" s="9"/>
      <c r="H3" s="12" t="s">
        <v>15</v>
      </c>
      <c r="I3" s="10" t="s">
        <v>17</v>
      </c>
      <c r="J3" s="9"/>
      <c r="K3" s="12" t="s">
        <v>18</v>
      </c>
    </row>
    <row r="4" ht="30.0" customHeight="1">
      <c r="A4" s="17" t="s">
        <v>19</v>
      </c>
      <c r="B4" s="17" t="s">
        <v>20</v>
      </c>
      <c r="C4" s="17" t="s">
        <v>21</v>
      </c>
      <c r="D4" s="17" t="s">
        <v>22</v>
      </c>
      <c r="E4" s="17" t="s">
        <v>23</v>
      </c>
      <c r="F4" s="17" t="s">
        <v>24</v>
      </c>
      <c r="G4" s="17" t="s">
        <v>25</v>
      </c>
      <c r="H4" s="17" t="s">
        <v>26</v>
      </c>
      <c r="I4" s="17" t="s">
        <v>27</v>
      </c>
      <c r="J4" s="17" t="s">
        <v>28</v>
      </c>
      <c r="K4" s="17" t="s">
        <v>29</v>
      </c>
    </row>
    <row r="5">
      <c r="A5" s="21">
        <v>1.0</v>
      </c>
      <c r="B5" s="23" t="s">
        <v>35</v>
      </c>
      <c r="C5" s="23" t="s">
        <v>38</v>
      </c>
      <c r="D5" s="23" t="s">
        <v>40</v>
      </c>
      <c r="E5" s="25" t="s">
        <v>42</v>
      </c>
      <c r="F5" s="32" t="s">
        <v>34</v>
      </c>
      <c r="G5" s="33" t="s">
        <v>50</v>
      </c>
      <c r="H5" s="35" t="s">
        <v>51</v>
      </c>
      <c r="I5" s="40"/>
      <c r="J5" s="40" t="str">
        <f t="array" ref="J5">IF($I5="","",IFERROR(INDEX(Legend!$C$41:$C$45,MATCH($I5,Legend!$B$41:$B$45,0)),""))</f>
        <v/>
      </c>
      <c r="K5" s="23"/>
    </row>
    <row r="6">
      <c r="A6" s="21">
        <v>2.0</v>
      </c>
      <c r="B6" s="23" t="s">
        <v>35</v>
      </c>
      <c r="C6" s="23" t="s">
        <v>38</v>
      </c>
      <c r="D6" s="23" t="s">
        <v>60</v>
      </c>
      <c r="E6" s="25" t="s">
        <v>42</v>
      </c>
      <c r="F6" s="32" t="s">
        <v>34</v>
      </c>
      <c r="G6" s="33" t="s">
        <v>50</v>
      </c>
      <c r="H6" s="35" t="s">
        <v>62</v>
      </c>
      <c r="I6" s="40"/>
      <c r="J6" s="40" t="str">
        <f t="array" ref="J6">IF($I6="","",IFERROR(INDEX(Legend!$C$41:$C$45,MATCH($I6,Legend!$B$41:$B$45,0)),""))</f>
        <v/>
      </c>
      <c r="K6" s="23"/>
    </row>
    <row r="7">
      <c r="A7" s="21">
        <v>3.0</v>
      </c>
      <c r="B7" s="23" t="s">
        <v>35</v>
      </c>
      <c r="C7" s="23" t="s">
        <v>38</v>
      </c>
      <c r="D7" s="23" t="s">
        <v>70</v>
      </c>
      <c r="E7" s="26" t="s">
        <v>43</v>
      </c>
      <c r="F7" s="32" t="s">
        <v>34</v>
      </c>
      <c r="G7" s="33" t="s">
        <v>50</v>
      </c>
      <c r="H7" s="35" t="s">
        <v>73</v>
      </c>
      <c r="I7" s="40"/>
      <c r="J7" s="40" t="str">
        <f t="array" ref="J7">IF($I7="","",IFERROR(INDEX(Legend!$C$41:$C$45,MATCH($I7,Legend!$B$41:$B$45,0)),""))</f>
        <v/>
      </c>
      <c r="K7" s="23"/>
    </row>
    <row r="8">
      <c r="A8" s="21">
        <v>4.0</v>
      </c>
      <c r="B8" s="23" t="s">
        <v>35</v>
      </c>
      <c r="C8" s="23" t="s">
        <v>38</v>
      </c>
      <c r="D8" s="23" t="s">
        <v>81</v>
      </c>
      <c r="E8" s="26" t="s">
        <v>43</v>
      </c>
      <c r="F8" s="32" t="s">
        <v>34</v>
      </c>
      <c r="G8" s="33" t="s">
        <v>50</v>
      </c>
      <c r="H8" s="35" t="s">
        <v>83</v>
      </c>
      <c r="I8" s="40"/>
      <c r="J8" s="40" t="str">
        <f t="array" ref="J8">IF($I8="","",IFERROR(INDEX(Legend!$C$41:$C$45,MATCH($I8,Legend!$B$41:$B$45,0)),""))</f>
        <v/>
      </c>
      <c r="K8" s="23"/>
    </row>
    <row r="9">
      <c r="A9" s="21">
        <v>5.0</v>
      </c>
      <c r="B9" s="23" t="s">
        <v>35</v>
      </c>
      <c r="C9" s="23" t="s">
        <v>38</v>
      </c>
      <c r="D9" s="23" t="s">
        <v>89</v>
      </c>
      <c r="E9" s="26" t="s">
        <v>43</v>
      </c>
      <c r="F9" s="32" t="s">
        <v>34</v>
      </c>
      <c r="G9" s="33" t="s">
        <v>50</v>
      </c>
      <c r="H9" s="35" t="s">
        <v>91</v>
      </c>
      <c r="I9" s="40"/>
      <c r="J9" s="40" t="str">
        <f t="array" ref="J9">IF($I9="","",IFERROR(INDEX(Legend!$C$41:$C$45,MATCH($I9,Legend!$B$41:$B$45,0)),""))</f>
        <v/>
      </c>
      <c r="K9" s="23"/>
    </row>
    <row r="10">
      <c r="A10" s="21">
        <v>6.0</v>
      </c>
      <c r="B10" s="23" t="s">
        <v>35</v>
      </c>
      <c r="C10" s="23" t="s">
        <v>38</v>
      </c>
      <c r="D10" s="23" t="s">
        <v>98</v>
      </c>
      <c r="E10" s="26" t="s">
        <v>43</v>
      </c>
      <c r="F10" s="32" t="s">
        <v>34</v>
      </c>
      <c r="G10" s="33" t="s">
        <v>50</v>
      </c>
      <c r="H10" s="35" t="s">
        <v>100</v>
      </c>
      <c r="I10" s="40"/>
      <c r="J10" s="40" t="str">
        <f t="array" ref="J10">IF($I10="","",IFERROR(INDEX(Legend!$C$41:$C$45,MATCH($I10,Legend!$B$41:$B$45,0)),""))</f>
        <v/>
      </c>
      <c r="K10" s="23"/>
    </row>
    <row r="11">
      <c r="A11" s="21">
        <v>7.0</v>
      </c>
      <c r="B11" s="23" t="s">
        <v>35</v>
      </c>
      <c r="C11" s="23" t="s">
        <v>38</v>
      </c>
      <c r="D11" s="23" t="s">
        <v>112</v>
      </c>
      <c r="E11" s="26" t="s">
        <v>43</v>
      </c>
      <c r="F11" s="32" t="s">
        <v>34</v>
      </c>
      <c r="G11" s="33" t="s">
        <v>50</v>
      </c>
      <c r="H11" s="35" t="s">
        <v>114</v>
      </c>
      <c r="I11" s="40"/>
      <c r="J11" s="40" t="str">
        <f t="array" ref="J11">IF($I11="","",IFERROR(INDEX(Legend!$C$41:$C$45,MATCH($I11,Legend!$B$41:$B$45,0)),""))</f>
        <v/>
      </c>
      <c r="K11" s="23"/>
    </row>
    <row r="12">
      <c r="A12" s="21">
        <v>8.0</v>
      </c>
      <c r="B12" s="23" t="s">
        <v>35</v>
      </c>
      <c r="C12" s="23" t="s">
        <v>38</v>
      </c>
      <c r="D12" s="23" t="s">
        <v>124</v>
      </c>
      <c r="E12" s="25" t="s">
        <v>42</v>
      </c>
      <c r="F12" s="32" t="s">
        <v>34</v>
      </c>
      <c r="G12" s="33" t="s">
        <v>50</v>
      </c>
      <c r="H12" s="35" t="s">
        <v>127</v>
      </c>
      <c r="I12" s="40"/>
      <c r="J12" s="40" t="str">
        <f t="array" ref="J12">IF($I12="","",IFERROR(INDEX(Legend!$C$41:$C$45,MATCH($I12,Legend!$B$41:$B$45,0)),""))</f>
        <v/>
      </c>
      <c r="K12" s="23"/>
    </row>
    <row r="13">
      <c r="A13" s="21">
        <v>9.0</v>
      </c>
      <c r="B13" s="23" t="s">
        <v>35</v>
      </c>
      <c r="C13" s="23" t="s">
        <v>38</v>
      </c>
      <c r="D13" s="23" t="s">
        <v>133</v>
      </c>
      <c r="E13" s="26" t="s">
        <v>43</v>
      </c>
      <c r="F13" s="29" t="s">
        <v>46</v>
      </c>
      <c r="G13" s="30" t="s">
        <v>47</v>
      </c>
      <c r="H13" s="35" t="s">
        <v>139</v>
      </c>
      <c r="I13" s="40"/>
      <c r="J13" s="40" t="str">
        <f t="array" ref="J13">IF($I13="","",IFERROR(INDEX(Legend!$C$41:$C$45,MATCH($I13,Legend!$B$41:$B$45,0)),""))</f>
        <v/>
      </c>
      <c r="K13" s="23"/>
    </row>
    <row r="14">
      <c r="A14" s="21">
        <v>10.0</v>
      </c>
      <c r="B14" s="23" t="s">
        <v>35</v>
      </c>
      <c r="C14" s="23" t="s">
        <v>38</v>
      </c>
      <c r="D14" s="23" t="s">
        <v>143</v>
      </c>
      <c r="E14" s="26" t="s">
        <v>43</v>
      </c>
      <c r="F14" s="26" t="s">
        <v>77</v>
      </c>
      <c r="G14" s="30" t="s">
        <v>47</v>
      </c>
      <c r="H14" s="35" t="s">
        <v>146</v>
      </c>
      <c r="I14" s="40"/>
      <c r="J14" s="40" t="str">
        <f t="array" ref="J14">IF($I14="","",IFERROR(INDEX(Legend!$C$41:$C$45,MATCH($I14,Legend!$B$41:$B$45,0)),""))</f>
        <v/>
      </c>
      <c r="K14" s="23"/>
    </row>
    <row r="15">
      <c r="A15" s="21">
        <v>11.0</v>
      </c>
      <c r="B15" s="23" t="s">
        <v>35</v>
      </c>
      <c r="C15" s="23" t="s">
        <v>38</v>
      </c>
      <c r="D15" s="23" t="s">
        <v>150</v>
      </c>
      <c r="E15" s="26" t="s">
        <v>43</v>
      </c>
      <c r="F15" s="26" t="s">
        <v>77</v>
      </c>
      <c r="G15" s="30" t="s">
        <v>47</v>
      </c>
      <c r="H15" s="35" t="s">
        <v>152</v>
      </c>
      <c r="I15" s="40"/>
      <c r="J15" s="40" t="str">
        <f t="array" ref="J15">IF($I15="","",IFERROR(INDEX(Legend!$C$41:$C$45,MATCH($I15,Legend!$B$41:$B$45,0)),""))</f>
        <v/>
      </c>
      <c r="K15" s="23"/>
    </row>
    <row r="16">
      <c r="A16" s="21">
        <v>12.0</v>
      </c>
      <c r="B16" s="23" t="s">
        <v>35</v>
      </c>
      <c r="C16" s="23" t="s">
        <v>38</v>
      </c>
      <c r="D16" s="23" t="s">
        <v>155</v>
      </c>
      <c r="E16" s="25" t="s">
        <v>42</v>
      </c>
      <c r="F16" s="26" t="s">
        <v>77</v>
      </c>
      <c r="G16" s="62" t="s">
        <v>49</v>
      </c>
      <c r="H16" s="35" t="s">
        <v>157</v>
      </c>
      <c r="I16" s="40"/>
      <c r="J16" s="40" t="str">
        <f t="array" ref="J16">IF($I16="","",IFERROR(INDEX(Legend!$C$41:$C$45,MATCH($I16,Legend!$B$41:$B$45,0)),""))</f>
        <v/>
      </c>
      <c r="K16" s="23"/>
    </row>
    <row r="17">
      <c r="A17" s="21">
        <v>13.0</v>
      </c>
      <c r="B17" s="23" t="s">
        <v>35</v>
      </c>
      <c r="C17" s="23" t="s">
        <v>163</v>
      </c>
      <c r="D17" s="23" t="s">
        <v>164</v>
      </c>
      <c r="E17" s="26" t="s">
        <v>43</v>
      </c>
      <c r="F17" s="32" t="s">
        <v>34</v>
      </c>
      <c r="G17" s="33" t="s">
        <v>50</v>
      </c>
      <c r="H17" s="35" t="s">
        <v>165</v>
      </c>
      <c r="I17" s="40"/>
      <c r="J17" s="40" t="str">
        <f t="array" ref="J17">IF($I17="","",IFERROR(INDEX(Legend!$C$41:$C$45,MATCH($I17,Legend!$B$41:$B$45,0)),""))</f>
        <v/>
      </c>
      <c r="K17" s="23"/>
    </row>
    <row r="18">
      <c r="A18" s="21">
        <v>14.0</v>
      </c>
      <c r="B18" s="23" t="s">
        <v>35</v>
      </c>
      <c r="C18" s="23" t="s">
        <v>163</v>
      </c>
      <c r="D18" s="23" t="s">
        <v>168</v>
      </c>
      <c r="E18" s="26" t="s">
        <v>43</v>
      </c>
      <c r="F18" s="32" t="s">
        <v>34</v>
      </c>
      <c r="G18" s="33" t="s">
        <v>50</v>
      </c>
      <c r="H18" s="35"/>
      <c r="I18" s="40"/>
      <c r="J18" s="40" t="str">
        <f t="array" ref="J18">IF($I18="","",IFERROR(INDEX(Legend!$C$41:$C$45,MATCH($I18,Legend!$B$41:$B$45,0)),""))</f>
        <v/>
      </c>
      <c r="K18" s="23"/>
    </row>
    <row r="19">
      <c r="A19" s="21">
        <v>15.0</v>
      </c>
      <c r="B19" s="23" t="s">
        <v>35</v>
      </c>
      <c r="C19" s="23" t="s">
        <v>163</v>
      </c>
      <c r="D19" s="23" t="s">
        <v>124</v>
      </c>
      <c r="E19" s="26" t="s">
        <v>43</v>
      </c>
      <c r="F19" s="32" t="s">
        <v>34</v>
      </c>
      <c r="G19" s="33" t="s">
        <v>50</v>
      </c>
      <c r="H19" s="35"/>
      <c r="I19" s="40"/>
      <c r="J19" s="40" t="str">
        <f t="array" ref="J19">IF($I19="","",IFERROR(INDEX(Legend!$C$41:$C$45,MATCH($I19,Legend!$B$41:$B$45,0)),""))</f>
        <v/>
      </c>
      <c r="K19" s="23"/>
    </row>
    <row r="20">
      <c r="A20" s="21">
        <v>16.0</v>
      </c>
      <c r="B20" s="23" t="s">
        <v>35</v>
      </c>
      <c r="C20" s="23" t="s">
        <v>163</v>
      </c>
      <c r="D20" s="23" t="s">
        <v>172</v>
      </c>
      <c r="E20" s="26" t="s">
        <v>43</v>
      </c>
      <c r="F20" s="29" t="s">
        <v>46</v>
      </c>
      <c r="G20" s="30" t="s">
        <v>47</v>
      </c>
      <c r="H20" s="35"/>
      <c r="I20" s="40"/>
      <c r="J20" s="40" t="str">
        <f t="array" ref="J20">IF($I20="","",IFERROR(INDEX(Legend!$C$41:$C$45,MATCH($I20,Legend!$B$41:$B$45,0)),""))</f>
        <v/>
      </c>
      <c r="K20" s="23"/>
    </row>
    <row r="21" ht="15.75" customHeight="1">
      <c r="A21" s="21">
        <v>17.0</v>
      </c>
      <c r="B21" s="23" t="s">
        <v>35</v>
      </c>
      <c r="C21" s="23" t="s">
        <v>163</v>
      </c>
      <c r="D21" s="23" t="s">
        <v>177</v>
      </c>
      <c r="E21" s="60" t="s">
        <v>56</v>
      </c>
      <c r="F21" s="29" t="s">
        <v>46</v>
      </c>
      <c r="G21" s="30" t="s">
        <v>47</v>
      </c>
      <c r="H21" s="35"/>
      <c r="I21" s="40"/>
      <c r="J21" s="40" t="str">
        <f t="array" ref="J21">IF($I21="","",IFERROR(INDEX(Legend!$C$41:$C$45,MATCH($I21,Legend!$B$41:$B$45,0)),""))</f>
        <v/>
      </c>
      <c r="K21" s="23"/>
    </row>
    <row r="22" ht="15.75" customHeight="1">
      <c r="A22" s="21">
        <v>18.0</v>
      </c>
      <c r="B22" s="23" t="s">
        <v>35</v>
      </c>
      <c r="C22" s="23" t="s">
        <v>163</v>
      </c>
      <c r="D22" s="23" t="s">
        <v>179</v>
      </c>
      <c r="E22" s="26" t="s">
        <v>43</v>
      </c>
      <c r="F22" s="29" t="s">
        <v>46</v>
      </c>
      <c r="G22" s="30" t="s">
        <v>47</v>
      </c>
      <c r="H22" s="35"/>
      <c r="I22" s="40"/>
      <c r="J22" s="40" t="str">
        <f t="array" ref="J22">IF($I22="","",IFERROR(INDEX(Legend!$C$41:$C$45,MATCH($I22,Legend!$B$41:$B$45,0)),""))</f>
        <v/>
      </c>
      <c r="K22" s="23"/>
    </row>
    <row r="23" ht="15.75" customHeight="1">
      <c r="A23" s="21">
        <v>19.0</v>
      </c>
      <c r="B23" s="23" t="s">
        <v>182</v>
      </c>
      <c r="C23" s="23" t="s">
        <v>183</v>
      </c>
      <c r="D23" s="23" t="s">
        <v>184</v>
      </c>
      <c r="E23" s="63" t="s">
        <v>33</v>
      </c>
      <c r="F23" s="32" t="s">
        <v>34</v>
      </c>
      <c r="G23" s="62" t="s">
        <v>49</v>
      </c>
      <c r="H23" s="35" t="s">
        <v>185</v>
      </c>
      <c r="I23" s="40"/>
      <c r="J23" s="40" t="str">
        <f t="array" ref="J23">IF($I23="","",IFERROR(INDEX(Legend!$C$41:$C$45,MATCH($I23,Legend!$B$41:$B$45,0)),""))</f>
        <v/>
      </c>
      <c r="K23" s="23"/>
    </row>
    <row r="24" ht="15.75" customHeight="1">
      <c r="A24" s="21">
        <v>20.0</v>
      </c>
      <c r="B24" s="23" t="s">
        <v>182</v>
      </c>
      <c r="C24" s="23" t="s">
        <v>183</v>
      </c>
      <c r="D24" s="23" t="s">
        <v>191</v>
      </c>
      <c r="E24" s="63" t="s">
        <v>33</v>
      </c>
      <c r="F24" s="32" t="s">
        <v>34</v>
      </c>
      <c r="G24" s="62" t="s">
        <v>49</v>
      </c>
      <c r="H24" s="35" t="s">
        <v>192</v>
      </c>
      <c r="I24" s="40"/>
      <c r="J24" s="40" t="str">
        <f t="array" ref="J24">IF($I24="","",IFERROR(INDEX(Legend!$C$41:$C$45,MATCH($I24,Legend!$B$41:$B$45,0)),""))</f>
        <v/>
      </c>
      <c r="K24" s="23"/>
    </row>
    <row r="25" ht="15.75" customHeight="1">
      <c r="A25" s="21">
        <v>21.0</v>
      </c>
      <c r="B25" s="23" t="s">
        <v>182</v>
      </c>
      <c r="C25" s="23" t="s">
        <v>183</v>
      </c>
      <c r="D25" s="23" t="s">
        <v>196</v>
      </c>
      <c r="E25" s="63" t="s">
        <v>33</v>
      </c>
      <c r="F25" s="32" t="s">
        <v>34</v>
      </c>
      <c r="G25" s="62" t="s">
        <v>49</v>
      </c>
      <c r="H25" s="35" t="s">
        <v>197</v>
      </c>
      <c r="I25" s="40"/>
      <c r="J25" s="40" t="str">
        <f t="array" ref="J25">IF($I25="","",IFERROR(INDEX(Legend!$C$41:$C$45,MATCH($I25,Legend!$B$41:$B$45,0)),""))</f>
        <v/>
      </c>
      <c r="K25" s="23"/>
    </row>
    <row r="26" ht="15.75" customHeight="1">
      <c r="A26" s="21">
        <v>22.0</v>
      </c>
      <c r="B26" s="23" t="s">
        <v>182</v>
      </c>
      <c r="C26" s="23" t="s">
        <v>183</v>
      </c>
      <c r="D26" s="23" t="s">
        <v>202</v>
      </c>
      <c r="E26" s="25" t="s">
        <v>42</v>
      </c>
      <c r="F26" s="32" t="s">
        <v>34</v>
      </c>
      <c r="G26" s="62" t="s">
        <v>49</v>
      </c>
      <c r="H26" s="35" t="s">
        <v>203</v>
      </c>
      <c r="I26" s="40"/>
      <c r="J26" s="40" t="str">
        <f t="array" ref="J26">IF($I26="","",IFERROR(INDEX(Legend!$C$41:$C$45,MATCH($I26,Legend!$B$41:$B$45,0)),""))</f>
        <v/>
      </c>
      <c r="K26" s="23"/>
    </row>
    <row r="27" ht="15.75" customHeight="1">
      <c r="A27" s="21">
        <v>23.0</v>
      </c>
      <c r="B27" s="23" t="s">
        <v>182</v>
      </c>
      <c r="C27" s="23" t="s">
        <v>183</v>
      </c>
      <c r="D27" s="23" t="s">
        <v>207</v>
      </c>
      <c r="E27" s="25" t="s">
        <v>42</v>
      </c>
      <c r="F27" s="32" t="s">
        <v>34</v>
      </c>
      <c r="G27" s="62" t="s">
        <v>49</v>
      </c>
      <c r="H27" s="35" t="s">
        <v>208</v>
      </c>
      <c r="I27" s="40"/>
      <c r="J27" s="40" t="str">
        <f t="array" ref="J27">IF($I27="","",IFERROR(INDEX(Legend!$C$41:$C$45,MATCH($I27,Legend!$B$41:$B$45,0)),""))</f>
        <v/>
      </c>
      <c r="K27" s="23"/>
    </row>
    <row r="28" ht="15.75" customHeight="1">
      <c r="A28" s="21">
        <v>24.0</v>
      </c>
      <c r="B28" s="23" t="s">
        <v>182</v>
      </c>
      <c r="C28" s="23" t="s">
        <v>183</v>
      </c>
      <c r="D28" s="23" t="s">
        <v>210</v>
      </c>
      <c r="E28" s="25" t="s">
        <v>42</v>
      </c>
      <c r="F28" s="32" t="s">
        <v>34</v>
      </c>
      <c r="G28" s="62" t="s">
        <v>49</v>
      </c>
      <c r="H28" s="35" t="s">
        <v>213</v>
      </c>
      <c r="I28" s="40"/>
      <c r="J28" s="40" t="str">
        <f t="array" ref="J28">IF($I28="","",IFERROR(INDEX(Legend!$C$41:$C$45,MATCH($I28,Legend!$B$41:$B$45,0)),""))</f>
        <v/>
      </c>
      <c r="K28" s="23"/>
    </row>
    <row r="29" ht="15.75" customHeight="1">
      <c r="A29" s="21">
        <v>25.0</v>
      </c>
      <c r="B29" s="23" t="s">
        <v>182</v>
      </c>
      <c r="C29" s="23" t="s">
        <v>183</v>
      </c>
      <c r="D29" s="23" t="s">
        <v>216</v>
      </c>
      <c r="E29" s="25" t="s">
        <v>42</v>
      </c>
      <c r="F29" s="32" t="s">
        <v>34</v>
      </c>
      <c r="G29" s="62" t="s">
        <v>49</v>
      </c>
      <c r="H29" s="35" t="s">
        <v>217</v>
      </c>
      <c r="I29" s="40"/>
      <c r="J29" s="40" t="str">
        <f t="array" ref="J29">IF($I29="","",IFERROR(INDEX(Legend!$C$41:$C$45,MATCH($I29,Legend!$B$41:$B$45,0)),""))</f>
        <v/>
      </c>
      <c r="K29" s="23"/>
    </row>
    <row r="30" ht="15.75" customHeight="1">
      <c r="A30" s="21">
        <v>26.0</v>
      </c>
      <c r="B30" s="23" t="s">
        <v>182</v>
      </c>
      <c r="C30" s="23" t="s">
        <v>183</v>
      </c>
      <c r="D30" s="23" t="s">
        <v>219</v>
      </c>
      <c r="E30" s="25" t="s">
        <v>42</v>
      </c>
      <c r="F30" s="26" t="s">
        <v>77</v>
      </c>
      <c r="G30" s="62" t="s">
        <v>49</v>
      </c>
      <c r="H30" s="35" t="s">
        <v>221</v>
      </c>
      <c r="I30" s="40"/>
      <c r="J30" s="40" t="str">
        <f t="array" ref="J30">IF($I30="","",IFERROR(INDEX(Legend!$C$41:$C$45,MATCH($I30,Legend!$B$41:$B$45,0)),""))</f>
        <v/>
      </c>
      <c r="K30" s="23"/>
    </row>
    <row r="31" ht="15.75" customHeight="1">
      <c r="A31" s="21">
        <v>27.0</v>
      </c>
      <c r="B31" s="23" t="s">
        <v>182</v>
      </c>
      <c r="C31" s="23" t="s">
        <v>183</v>
      </c>
      <c r="D31" s="23" t="s">
        <v>225</v>
      </c>
      <c r="E31" s="25" t="s">
        <v>42</v>
      </c>
      <c r="F31" s="32" t="s">
        <v>34</v>
      </c>
      <c r="G31" s="62" t="s">
        <v>49</v>
      </c>
      <c r="H31" s="35" t="s">
        <v>226</v>
      </c>
      <c r="I31" s="40"/>
      <c r="J31" s="40" t="str">
        <f t="array" ref="J31">IF($I31="","",IFERROR(INDEX(Legend!$C$41:$C$45,MATCH($I31,Legend!$B$41:$B$45,0)),""))</f>
        <v/>
      </c>
      <c r="K31" s="23"/>
    </row>
    <row r="32" ht="15.75" customHeight="1">
      <c r="A32" s="21">
        <v>28.0</v>
      </c>
      <c r="B32" s="23" t="s">
        <v>182</v>
      </c>
      <c r="C32" s="23" t="s">
        <v>183</v>
      </c>
      <c r="D32" s="23" t="s">
        <v>230</v>
      </c>
      <c r="E32" s="25" t="s">
        <v>42</v>
      </c>
      <c r="F32" s="32" t="s">
        <v>34</v>
      </c>
      <c r="G32" s="62" t="s">
        <v>49</v>
      </c>
      <c r="H32" s="35" t="s">
        <v>231</v>
      </c>
      <c r="I32" s="40"/>
      <c r="J32" s="40" t="str">
        <f t="array" ref="J32">IF($I32="","",IFERROR(INDEX(Legend!$C$41:$C$45,MATCH($I32,Legend!$B$41:$B$45,0)),""))</f>
        <v/>
      </c>
      <c r="K32" s="23"/>
    </row>
    <row r="33" ht="15.75" customHeight="1">
      <c r="A33" s="21">
        <v>29.0</v>
      </c>
      <c r="B33" s="23" t="s">
        <v>182</v>
      </c>
      <c r="C33" s="23" t="s">
        <v>183</v>
      </c>
      <c r="D33" s="23" t="s">
        <v>236</v>
      </c>
      <c r="E33" s="25" t="s">
        <v>42</v>
      </c>
      <c r="F33" s="26" t="s">
        <v>77</v>
      </c>
      <c r="G33" s="62" t="s">
        <v>49</v>
      </c>
      <c r="H33" s="35" t="s">
        <v>237</v>
      </c>
      <c r="I33" s="40"/>
      <c r="J33" s="40" t="str">
        <f t="array" ref="J33">IF($I33="","",IFERROR(INDEX(Legend!$C$41:$C$45,MATCH($I33,Legend!$B$41:$B$45,0)),""))</f>
        <v/>
      </c>
      <c r="K33" s="23"/>
    </row>
    <row r="34" ht="15.75" customHeight="1">
      <c r="A34" s="21">
        <v>30.0</v>
      </c>
      <c r="B34" s="23" t="s">
        <v>182</v>
      </c>
      <c r="C34" s="23" t="s">
        <v>183</v>
      </c>
      <c r="D34" s="23" t="s">
        <v>241</v>
      </c>
      <c r="E34" s="25" t="s">
        <v>42</v>
      </c>
      <c r="F34" s="29" t="s">
        <v>46</v>
      </c>
      <c r="G34" s="30" t="s">
        <v>47</v>
      </c>
      <c r="H34" s="35" t="s">
        <v>242</v>
      </c>
      <c r="I34" s="40"/>
      <c r="J34" s="40" t="str">
        <f t="array" ref="J34">IF($I34="","",IFERROR(INDEX(Legend!$C$41:$C$45,MATCH($I34,Legend!$B$41:$B$45,0)),""))</f>
        <v/>
      </c>
      <c r="K34" s="23"/>
    </row>
    <row r="35" ht="15.75" customHeight="1">
      <c r="A35" s="21">
        <v>31.0</v>
      </c>
      <c r="B35" s="23" t="s">
        <v>182</v>
      </c>
      <c r="C35" s="23" t="s">
        <v>183</v>
      </c>
      <c r="D35" s="23" t="s">
        <v>246</v>
      </c>
      <c r="E35" s="25" t="s">
        <v>42</v>
      </c>
      <c r="F35" s="32" t="s">
        <v>34</v>
      </c>
      <c r="G35" s="62" t="s">
        <v>49</v>
      </c>
      <c r="H35" s="35" t="s">
        <v>247</v>
      </c>
      <c r="I35" s="40"/>
      <c r="J35" s="40" t="str">
        <f t="array" ref="J35">IF($I35="","",IFERROR(INDEX(Legend!$C$41:$C$45,MATCH($I35,Legend!$B$41:$B$45,0)),""))</f>
        <v/>
      </c>
      <c r="K35" s="23"/>
    </row>
    <row r="36" ht="15.75" customHeight="1">
      <c r="A36" s="21">
        <v>32.0</v>
      </c>
      <c r="B36" s="23" t="s">
        <v>182</v>
      </c>
      <c r="C36" s="23" t="s">
        <v>183</v>
      </c>
      <c r="D36" s="23" t="s">
        <v>254</v>
      </c>
      <c r="E36" s="25" t="s">
        <v>42</v>
      </c>
      <c r="F36" s="26" t="s">
        <v>77</v>
      </c>
      <c r="G36" s="62" t="s">
        <v>49</v>
      </c>
      <c r="H36" s="35" t="s">
        <v>255</v>
      </c>
      <c r="I36" s="40"/>
      <c r="J36" s="40" t="str">
        <f t="array" ref="J36">IF($I36="","",IFERROR(INDEX(Legend!$C$41:$C$45,MATCH($I36,Legend!$B$41:$B$45,0)),""))</f>
        <v/>
      </c>
      <c r="K36" s="23"/>
    </row>
    <row r="37" ht="15.75" customHeight="1">
      <c r="A37" s="21">
        <v>33.0</v>
      </c>
      <c r="B37" s="23" t="s">
        <v>182</v>
      </c>
      <c r="C37" s="23" t="s">
        <v>183</v>
      </c>
      <c r="D37" s="23" t="s">
        <v>258</v>
      </c>
      <c r="E37" s="25" t="s">
        <v>42</v>
      </c>
      <c r="F37" s="32" t="s">
        <v>34</v>
      </c>
      <c r="G37" s="62" t="s">
        <v>49</v>
      </c>
      <c r="H37" s="35" t="s">
        <v>261</v>
      </c>
      <c r="I37" s="40"/>
      <c r="J37" s="40" t="str">
        <f t="array" ref="J37">IF($I37="","",IFERROR(INDEX(Legend!$C$41:$C$45,MATCH($I37,Legend!$B$41:$B$45,0)),""))</f>
        <v/>
      </c>
      <c r="K37" s="23"/>
    </row>
    <row r="38" ht="15.75" customHeight="1">
      <c r="A38" s="21">
        <v>34.0</v>
      </c>
      <c r="B38" s="23" t="s">
        <v>182</v>
      </c>
      <c r="C38" s="23" t="s">
        <v>183</v>
      </c>
      <c r="D38" s="23" t="s">
        <v>267</v>
      </c>
      <c r="E38" s="25" t="s">
        <v>42</v>
      </c>
      <c r="F38" s="26" t="s">
        <v>77</v>
      </c>
      <c r="G38" s="62" t="s">
        <v>49</v>
      </c>
      <c r="H38" s="35" t="s">
        <v>268</v>
      </c>
      <c r="I38" s="40"/>
      <c r="J38" s="40" t="str">
        <f t="array" ref="J38">IF($I38="","",IFERROR(INDEX(Legend!$C$41:$C$45,MATCH($I38,Legend!$B$41:$B$45,0)),""))</f>
        <v/>
      </c>
      <c r="K38" s="23"/>
    </row>
    <row r="39" ht="15.75" customHeight="1">
      <c r="A39" s="21">
        <v>35.0</v>
      </c>
      <c r="B39" s="23" t="s">
        <v>182</v>
      </c>
      <c r="C39" s="23" t="s">
        <v>183</v>
      </c>
      <c r="D39" s="23" t="s">
        <v>275</v>
      </c>
      <c r="E39" s="25" t="s">
        <v>42</v>
      </c>
      <c r="F39" s="29" t="s">
        <v>46</v>
      </c>
      <c r="G39" s="33" t="s">
        <v>50</v>
      </c>
      <c r="H39" s="35" t="s">
        <v>277</v>
      </c>
      <c r="I39" s="40"/>
      <c r="J39" s="40" t="str">
        <f t="array" ref="J39">IF($I39="","",IFERROR(INDEX(Legend!$C$41:$C$45,MATCH($I39,Legend!$B$41:$B$45,0)),""))</f>
        <v/>
      </c>
      <c r="K39" s="23"/>
    </row>
    <row r="40" ht="15.75" customHeight="1">
      <c r="A40" s="21">
        <v>36.0</v>
      </c>
      <c r="B40" s="23" t="s">
        <v>182</v>
      </c>
      <c r="C40" s="23" t="s">
        <v>183</v>
      </c>
      <c r="D40" s="23" t="s">
        <v>284</v>
      </c>
      <c r="E40" s="25" t="s">
        <v>42</v>
      </c>
      <c r="F40" s="32" t="s">
        <v>34</v>
      </c>
      <c r="G40" s="62" t="s">
        <v>49</v>
      </c>
      <c r="H40" s="35" t="s">
        <v>286</v>
      </c>
      <c r="I40" s="40"/>
      <c r="J40" s="40" t="str">
        <f t="array" ref="J40">IF($I40="","",IFERROR(INDEX(Legend!$C$41:$C$45,MATCH($I40,Legend!$B$41:$B$45,0)),""))</f>
        <v/>
      </c>
      <c r="K40" s="23"/>
    </row>
    <row r="41" ht="15.75" customHeight="1">
      <c r="A41" s="21">
        <v>37.0</v>
      </c>
      <c r="B41" s="23" t="s">
        <v>182</v>
      </c>
      <c r="C41" s="23" t="s">
        <v>183</v>
      </c>
      <c r="D41" s="23" t="s">
        <v>292</v>
      </c>
      <c r="E41" s="25" t="s">
        <v>42</v>
      </c>
      <c r="F41" s="32" t="s">
        <v>34</v>
      </c>
      <c r="G41" s="62" t="s">
        <v>49</v>
      </c>
      <c r="H41" s="35" t="s">
        <v>293</v>
      </c>
      <c r="I41" s="40"/>
      <c r="J41" s="40" t="str">
        <f t="array" ref="J41">IF($I41="","",IFERROR(INDEX(Legend!$C$41:$C$45,MATCH($I41,Legend!$B$41:$B$45,0)),""))</f>
        <v/>
      </c>
      <c r="K41" s="23"/>
    </row>
    <row r="42" ht="15.75" customHeight="1">
      <c r="A42" s="21">
        <v>38.0</v>
      </c>
      <c r="B42" s="23" t="s">
        <v>182</v>
      </c>
      <c r="C42" s="23" t="s">
        <v>183</v>
      </c>
      <c r="D42" s="23" t="s">
        <v>302</v>
      </c>
      <c r="E42" s="25" t="s">
        <v>42</v>
      </c>
      <c r="F42" s="32" t="s">
        <v>34</v>
      </c>
      <c r="G42" s="62" t="s">
        <v>49</v>
      </c>
      <c r="H42" s="35" t="s">
        <v>303</v>
      </c>
      <c r="I42" s="40"/>
      <c r="J42" s="40" t="str">
        <f t="array" ref="J42">IF($I42="","",IFERROR(INDEX(Legend!$C$41:$C$45,MATCH($I42,Legend!$B$41:$B$45,0)),""))</f>
        <v/>
      </c>
      <c r="K42" s="23"/>
    </row>
    <row r="43" ht="15.75" customHeight="1">
      <c r="A43" s="21">
        <v>39.0</v>
      </c>
      <c r="B43" s="23" t="s">
        <v>182</v>
      </c>
      <c r="C43" s="23" t="s">
        <v>183</v>
      </c>
      <c r="D43" s="23" t="s">
        <v>306</v>
      </c>
      <c r="E43" s="25" t="s">
        <v>42</v>
      </c>
      <c r="F43" s="32" t="s">
        <v>34</v>
      </c>
      <c r="G43" s="62" t="s">
        <v>49</v>
      </c>
      <c r="H43" s="35" t="s">
        <v>307</v>
      </c>
      <c r="I43" s="40"/>
      <c r="J43" s="40" t="str">
        <f t="array" ref="J43">IF($I43="","",IFERROR(INDEX(Legend!$C$41:$C$45,MATCH($I43,Legend!$B$41:$B$45,0)),""))</f>
        <v/>
      </c>
      <c r="K43" s="23"/>
    </row>
    <row r="44" ht="15.75" customHeight="1">
      <c r="A44" s="21">
        <v>40.0</v>
      </c>
      <c r="B44" s="23" t="s">
        <v>182</v>
      </c>
      <c r="C44" s="23" t="s">
        <v>183</v>
      </c>
      <c r="D44" s="23" t="s">
        <v>314</v>
      </c>
      <c r="E44" s="25" t="s">
        <v>42</v>
      </c>
      <c r="F44" s="32" t="s">
        <v>34</v>
      </c>
      <c r="G44" s="62" t="s">
        <v>49</v>
      </c>
      <c r="H44" s="35" t="s">
        <v>315</v>
      </c>
      <c r="I44" s="40"/>
      <c r="J44" s="40" t="str">
        <f t="array" ref="J44">IF($I44="","",IFERROR(INDEX(Legend!$C$41:$C$45,MATCH($I44,Legend!$B$41:$B$45,0)),""))</f>
        <v/>
      </c>
      <c r="K44" s="23"/>
    </row>
    <row r="45" ht="15.75" customHeight="1">
      <c r="A45" s="21">
        <v>41.0</v>
      </c>
      <c r="B45" s="23" t="s">
        <v>182</v>
      </c>
      <c r="C45" s="23" t="s">
        <v>183</v>
      </c>
      <c r="D45" s="23" t="s">
        <v>324</v>
      </c>
      <c r="E45" s="25" t="s">
        <v>42</v>
      </c>
      <c r="F45" s="29" t="s">
        <v>46</v>
      </c>
      <c r="G45" s="33" t="s">
        <v>50</v>
      </c>
      <c r="H45" s="35" t="s">
        <v>327</v>
      </c>
      <c r="I45" s="40"/>
      <c r="J45" s="40" t="str">
        <f t="array" ref="J45">IF($I45="","",IFERROR(INDEX(Legend!$C$41:$C$45,MATCH($I45,Legend!$B$41:$B$45,0)),""))</f>
        <v/>
      </c>
      <c r="K45" s="23"/>
    </row>
    <row r="46" ht="15.75" customHeight="1">
      <c r="A46" s="21">
        <v>42.0</v>
      </c>
      <c r="B46" s="23" t="s">
        <v>182</v>
      </c>
      <c r="C46" s="23" t="s">
        <v>183</v>
      </c>
      <c r="D46" s="23" t="s">
        <v>333</v>
      </c>
      <c r="E46" s="25" t="s">
        <v>42</v>
      </c>
      <c r="F46" s="29" t="s">
        <v>46</v>
      </c>
      <c r="G46" s="30" t="s">
        <v>47</v>
      </c>
      <c r="H46" s="35" t="s">
        <v>334</v>
      </c>
      <c r="I46" s="40"/>
      <c r="J46" s="40" t="str">
        <f t="array" ref="J46">IF($I46="","",IFERROR(INDEX(Legend!$C$41:$C$45,MATCH($I46,Legend!$B$41:$B$45,0)),""))</f>
        <v/>
      </c>
      <c r="K46" s="23"/>
    </row>
    <row r="47" ht="15.75" customHeight="1">
      <c r="A47" s="21">
        <v>43.0</v>
      </c>
      <c r="B47" s="23" t="s">
        <v>182</v>
      </c>
      <c r="C47" s="23" t="s">
        <v>183</v>
      </c>
      <c r="D47" s="23" t="s">
        <v>340</v>
      </c>
      <c r="E47" s="25" t="s">
        <v>42</v>
      </c>
      <c r="F47" s="26" t="s">
        <v>77</v>
      </c>
      <c r="G47" s="62" t="s">
        <v>49</v>
      </c>
      <c r="H47" s="35" t="s">
        <v>341</v>
      </c>
      <c r="I47" s="40"/>
      <c r="J47" s="40" t="str">
        <f t="array" ref="J47">IF($I47="","",IFERROR(INDEX(Legend!$C$41:$C$45,MATCH($I47,Legend!$B$41:$B$45,0)),""))</f>
        <v/>
      </c>
      <c r="K47" s="23"/>
    </row>
    <row r="48" ht="15.75" customHeight="1">
      <c r="A48" s="21">
        <v>44.0</v>
      </c>
      <c r="B48" s="23" t="s">
        <v>182</v>
      </c>
      <c r="C48" s="23" t="s">
        <v>183</v>
      </c>
      <c r="D48" s="23" t="s">
        <v>347</v>
      </c>
      <c r="E48" s="25" t="s">
        <v>42</v>
      </c>
      <c r="F48" s="32" t="s">
        <v>34</v>
      </c>
      <c r="G48" s="33" t="s">
        <v>50</v>
      </c>
      <c r="H48" s="35" t="s">
        <v>349</v>
      </c>
      <c r="I48" s="40"/>
      <c r="J48" s="40" t="str">
        <f t="array" ref="J48">IF($I48="","",IFERROR(INDEX(Legend!$C$41:$C$45,MATCH($I48,Legend!$B$41:$B$45,0)),""))</f>
        <v/>
      </c>
      <c r="K48" s="23"/>
    </row>
    <row r="49" ht="15.75" customHeight="1">
      <c r="A49" s="21">
        <v>45.0</v>
      </c>
      <c r="B49" s="23" t="s">
        <v>182</v>
      </c>
      <c r="C49" s="23" t="s">
        <v>183</v>
      </c>
      <c r="D49" s="23" t="s">
        <v>357</v>
      </c>
      <c r="E49" s="25" t="s">
        <v>42</v>
      </c>
      <c r="F49" s="32" t="s">
        <v>34</v>
      </c>
      <c r="G49" s="62" t="s">
        <v>49</v>
      </c>
      <c r="H49" s="35" t="s">
        <v>358</v>
      </c>
      <c r="I49" s="40"/>
      <c r="J49" s="40" t="str">
        <f t="array" ref="J49">IF($I49="","",IFERROR(INDEX(Legend!$C$41:$C$45,MATCH($I49,Legend!$B$41:$B$45,0)),""))</f>
        <v/>
      </c>
      <c r="K49" s="23"/>
    </row>
    <row r="50" ht="15.75" customHeight="1">
      <c r="A50" s="21">
        <v>46.0</v>
      </c>
      <c r="B50" s="23" t="s">
        <v>182</v>
      </c>
      <c r="C50" s="23" t="s">
        <v>183</v>
      </c>
      <c r="D50" s="23" t="s">
        <v>364</v>
      </c>
      <c r="E50" s="25" t="s">
        <v>42</v>
      </c>
      <c r="F50" s="32" t="s">
        <v>34</v>
      </c>
      <c r="G50" s="33" t="s">
        <v>50</v>
      </c>
      <c r="H50" s="35" t="s">
        <v>365</v>
      </c>
      <c r="I50" s="40"/>
      <c r="J50" s="40" t="str">
        <f t="array" ref="J50">IF($I50="","",IFERROR(INDEX(Legend!$C$41:$C$45,MATCH($I50,Legend!$B$41:$B$45,0)),""))</f>
        <v/>
      </c>
      <c r="K50" s="23"/>
    </row>
    <row r="51" ht="15.75" customHeight="1">
      <c r="A51" s="21">
        <v>47.0</v>
      </c>
      <c r="B51" s="23" t="s">
        <v>182</v>
      </c>
      <c r="C51" s="23" t="s">
        <v>183</v>
      </c>
      <c r="D51" s="23" t="s">
        <v>371</v>
      </c>
      <c r="E51" s="25" t="s">
        <v>42</v>
      </c>
      <c r="F51" s="29" t="s">
        <v>46</v>
      </c>
      <c r="G51" s="33" t="s">
        <v>50</v>
      </c>
      <c r="H51" s="35" t="s">
        <v>372</v>
      </c>
      <c r="I51" s="40"/>
      <c r="J51" s="40" t="str">
        <f t="array" ref="J51">IF($I51="","",IFERROR(INDEX(Legend!$C$41:$C$45,MATCH($I51,Legend!$B$41:$B$45,0)),""))</f>
        <v/>
      </c>
      <c r="K51" s="23"/>
    </row>
    <row r="52" ht="15.75" customHeight="1">
      <c r="A52" s="21">
        <v>48.0</v>
      </c>
      <c r="B52" s="23" t="s">
        <v>182</v>
      </c>
      <c r="C52" s="23" t="s">
        <v>183</v>
      </c>
      <c r="D52" s="23" t="s">
        <v>378</v>
      </c>
      <c r="E52" s="26" t="s">
        <v>43</v>
      </c>
      <c r="F52" s="26" t="s">
        <v>77</v>
      </c>
      <c r="G52" s="30" t="s">
        <v>47</v>
      </c>
      <c r="H52" s="35" t="s">
        <v>380</v>
      </c>
      <c r="I52" s="40"/>
      <c r="J52" s="40" t="str">
        <f t="array" ref="J52">IF($I52="","",IFERROR(INDEX(Legend!$C$41:$C$45,MATCH($I52,Legend!$B$41:$B$45,0)),""))</f>
        <v/>
      </c>
      <c r="K52" s="23"/>
    </row>
    <row r="53" ht="15.75" customHeight="1">
      <c r="A53" s="21">
        <v>49.0</v>
      </c>
      <c r="B53" s="23" t="s">
        <v>182</v>
      </c>
      <c r="C53" s="23" t="s">
        <v>183</v>
      </c>
      <c r="D53" s="23" t="s">
        <v>387</v>
      </c>
      <c r="E53" s="26" t="s">
        <v>43</v>
      </c>
      <c r="F53" s="26" t="s">
        <v>77</v>
      </c>
      <c r="G53" s="30" t="s">
        <v>47</v>
      </c>
      <c r="H53" s="35" t="s">
        <v>388</v>
      </c>
      <c r="I53" s="40"/>
      <c r="J53" s="40" t="str">
        <f t="array" ref="J53">IF($I53="","",IFERROR(INDEX(Legend!$C$41:$C$45,MATCH($I53,Legend!$B$41:$B$45,0)),""))</f>
        <v/>
      </c>
      <c r="K53" s="23"/>
    </row>
    <row r="54" ht="15.75" customHeight="1">
      <c r="A54" s="21">
        <v>50.0</v>
      </c>
      <c r="B54" s="23" t="s">
        <v>182</v>
      </c>
      <c r="C54" s="23" t="s">
        <v>183</v>
      </c>
      <c r="D54" s="23" t="s">
        <v>394</v>
      </c>
      <c r="E54" s="26" t="s">
        <v>43</v>
      </c>
      <c r="F54" s="26" t="s">
        <v>77</v>
      </c>
      <c r="G54" s="30" t="s">
        <v>47</v>
      </c>
      <c r="H54" s="35" t="s">
        <v>395</v>
      </c>
      <c r="I54" s="40"/>
      <c r="J54" s="40" t="str">
        <f t="array" ref="J54">IF($I54="","",IFERROR(INDEX(Legend!$C$41:$C$45,MATCH($I54,Legend!$B$41:$B$45,0)),""))</f>
        <v/>
      </c>
      <c r="K54" s="23"/>
    </row>
    <row r="55" ht="15.75" customHeight="1">
      <c r="A55" s="21">
        <v>51.0</v>
      </c>
      <c r="B55" s="23" t="s">
        <v>182</v>
      </c>
      <c r="C55" s="23" t="s">
        <v>183</v>
      </c>
      <c r="D55" s="23" t="s">
        <v>401</v>
      </c>
      <c r="E55" s="26" t="s">
        <v>43</v>
      </c>
      <c r="F55" s="26" t="s">
        <v>77</v>
      </c>
      <c r="G55" s="30" t="s">
        <v>47</v>
      </c>
      <c r="H55" s="35" t="s">
        <v>403</v>
      </c>
      <c r="I55" s="40"/>
      <c r="J55" s="40" t="str">
        <f t="array" ref="J55">IF($I55="","",IFERROR(INDEX(Legend!$C$41:$C$45,MATCH($I55,Legend!$B$41:$B$45,0)),""))</f>
        <v/>
      </c>
      <c r="K55" s="23"/>
    </row>
    <row r="56" ht="15.75" customHeight="1">
      <c r="A56" s="21">
        <v>52.0</v>
      </c>
      <c r="B56" s="23" t="s">
        <v>408</v>
      </c>
      <c r="C56" s="23" t="s">
        <v>409</v>
      </c>
      <c r="D56" s="23" t="s">
        <v>410</v>
      </c>
      <c r="E56" s="63" t="s">
        <v>33</v>
      </c>
      <c r="F56" s="32" t="s">
        <v>34</v>
      </c>
      <c r="G56" s="62" t="s">
        <v>49</v>
      </c>
      <c r="H56" s="35" t="s">
        <v>411</v>
      </c>
      <c r="I56" s="40"/>
      <c r="J56" s="40" t="str">
        <f t="array" ref="J56">IF($I56="","",IFERROR(INDEX(Legend!$C$41:$C$45,MATCH($I56,Legend!$B$41:$B$45,0)),""))</f>
        <v/>
      </c>
      <c r="K56" s="23"/>
    </row>
    <row r="57" ht="15.75" customHeight="1">
      <c r="A57" s="21">
        <v>53.0</v>
      </c>
      <c r="B57" s="23" t="s">
        <v>408</v>
      </c>
      <c r="C57" s="23" t="s">
        <v>409</v>
      </c>
      <c r="D57" s="23" t="s">
        <v>415</v>
      </c>
      <c r="E57" s="25" t="s">
        <v>42</v>
      </c>
      <c r="F57" s="32" t="s">
        <v>34</v>
      </c>
      <c r="G57" s="62" t="s">
        <v>49</v>
      </c>
      <c r="H57" s="35" t="s">
        <v>417</v>
      </c>
      <c r="I57" s="40"/>
      <c r="J57" s="40" t="str">
        <f t="array" ref="J57">IF($I57="","",IFERROR(INDEX(Legend!$C$41:$C$45,MATCH($I57,Legend!$B$41:$B$45,0)),""))</f>
        <v/>
      </c>
      <c r="K57" s="23"/>
    </row>
    <row r="58" ht="15.75" customHeight="1">
      <c r="A58" s="21">
        <v>54.0</v>
      </c>
      <c r="B58" s="23" t="s">
        <v>408</v>
      </c>
      <c r="C58" s="23" t="s">
        <v>409</v>
      </c>
      <c r="D58" s="23" t="s">
        <v>424</v>
      </c>
      <c r="E58" s="25" t="s">
        <v>42</v>
      </c>
      <c r="F58" s="32" t="s">
        <v>34</v>
      </c>
      <c r="G58" s="62" t="s">
        <v>49</v>
      </c>
      <c r="H58" s="35" t="s">
        <v>425</v>
      </c>
      <c r="I58" s="40"/>
      <c r="J58" s="40" t="str">
        <f t="array" ref="J58">IF($I58="","",IFERROR(INDEX(Legend!$C$41:$C$45,MATCH($I58,Legend!$B$41:$B$45,0)),""))</f>
        <v/>
      </c>
      <c r="K58" s="23"/>
    </row>
    <row r="59" ht="15.75" customHeight="1">
      <c r="A59" s="21">
        <v>55.0</v>
      </c>
      <c r="B59" s="23" t="s">
        <v>408</v>
      </c>
      <c r="C59" s="23" t="s">
        <v>409</v>
      </c>
      <c r="D59" s="23" t="s">
        <v>433</v>
      </c>
      <c r="E59" s="25" t="s">
        <v>42</v>
      </c>
      <c r="F59" s="32" t="s">
        <v>34</v>
      </c>
      <c r="G59" s="33" t="s">
        <v>50</v>
      </c>
      <c r="H59" s="35" t="s">
        <v>434</v>
      </c>
      <c r="I59" s="40"/>
      <c r="J59" s="40" t="str">
        <f t="array" ref="J59">IF($I59="","",IFERROR(INDEX(Legend!$C$41:$C$45,MATCH($I59,Legend!$B$41:$B$45,0)),""))</f>
        <v/>
      </c>
      <c r="K59" s="23"/>
    </row>
    <row r="60" ht="15.75" customHeight="1">
      <c r="A60" s="21">
        <v>56.0</v>
      </c>
      <c r="B60" s="23" t="s">
        <v>408</v>
      </c>
      <c r="C60" s="23" t="s">
        <v>409</v>
      </c>
      <c r="D60" s="23" t="s">
        <v>438</v>
      </c>
      <c r="E60" s="25" t="s">
        <v>42</v>
      </c>
      <c r="F60" s="32" t="s">
        <v>34</v>
      </c>
      <c r="G60" s="62" t="s">
        <v>49</v>
      </c>
      <c r="H60" s="35" t="s">
        <v>439</v>
      </c>
      <c r="I60" s="40"/>
      <c r="J60" s="40" t="str">
        <f t="array" ref="J60">IF($I60="","",IFERROR(INDEX(Legend!$C$41:$C$45,MATCH($I60,Legend!$B$41:$B$45,0)),""))</f>
        <v/>
      </c>
      <c r="K60" s="23"/>
    </row>
    <row r="61" ht="15.75" customHeight="1">
      <c r="A61" s="21">
        <v>57.0</v>
      </c>
      <c r="B61" s="23" t="s">
        <v>408</v>
      </c>
      <c r="C61" s="23" t="s">
        <v>409</v>
      </c>
      <c r="D61" s="23" t="s">
        <v>443</v>
      </c>
      <c r="E61" s="25" t="s">
        <v>42</v>
      </c>
      <c r="F61" s="32" t="s">
        <v>34</v>
      </c>
      <c r="G61" s="62" t="s">
        <v>49</v>
      </c>
      <c r="H61" s="35" t="s">
        <v>444</v>
      </c>
      <c r="I61" s="40"/>
      <c r="J61" s="40" t="str">
        <f t="array" ref="J61">IF($I61="","",IFERROR(INDEX(Legend!$C$41:$C$45,MATCH($I61,Legend!$B$41:$B$45,0)),""))</f>
        <v/>
      </c>
      <c r="K61" s="23"/>
    </row>
    <row r="62" ht="15.75" customHeight="1">
      <c r="A62" s="21">
        <v>58.0</v>
      </c>
      <c r="B62" s="23" t="s">
        <v>408</v>
      </c>
      <c r="C62" s="23" t="s">
        <v>409</v>
      </c>
      <c r="D62" s="23" t="s">
        <v>451</v>
      </c>
      <c r="E62" s="25" t="s">
        <v>42</v>
      </c>
      <c r="F62" s="32" t="s">
        <v>34</v>
      </c>
      <c r="G62" s="62" t="s">
        <v>49</v>
      </c>
      <c r="H62" s="35" t="s">
        <v>452</v>
      </c>
      <c r="I62" s="40"/>
      <c r="J62" s="40" t="str">
        <f t="array" ref="J62">IF($I62="","",IFERROR(INDEX(Legend!$C$41:$C$45,MATCH($I62,Legend!$B$41:$B$45,0)),""))</f>
        <v/>
      </c>
      <c r="K62" s="23"/>
    </row>
    <row r="63" ht="15.75" customHeight="1">
      <c r="A63" s="21">
        <v>59.0</v>
      </c>
      <c r="B63" s="23" t="s">
        <v>408</v>
      </c>
      <c r="C63" s="23" t="s">
        <v>409</v>
      </c>
      <c r="D63" s="23" t="s">
        <v>457</v>
      </c>
      <c r="E63" s="25" t="s">
        <v>42</v>
      </c>
      <c r="F63" s="26" t="s">
        <v>77</v>
      </c>
      <c r="G63" s="62" t="s">
        <v>49</v>
      </c>
      <c r="H63" s="35" t="s">
        <v>459</v>
      </c>
      <c r="I63" s="40"/>
      <c r="J63" s="40" t="str">
        <f t="array" ref="J63">IF($I63="","",IFERROR(INDEX(Legend!$C$41:$C$45,MATCH($I63,Legend!$B$41:$B$45,0)),""))</f>
        <v/>
      </c>
      <c r="K63" s="23"/>
    </row>
    <row r="64" ht="15.75" customHeight="1">
      <c r="A64" s="21">
        <v>60.0</v>
      </c>
      <c r="B64" s="23" t="s">
        <v>408</v>
      </c>
      <c r="C64" s="23" t="s">
        <v>409</v>
      </c>
      <c r="D64" s="23" t="s">
        <v>464</v>
      </c>
      <c r="E64" s="25" t="s">
        <v>42</v>
      </c>
      <c r="F64" s="26" t="s">
        <v>77</v>
      </c>
      <c r="G64" s="62" t="s">
        <v>49</v>
      </c>
      <c r="H64" s="35" t="s">
        <v>465</v>
      </c>
      <c r="I64" s="40"/>
      <c r="J64" s="40" t="str">
        <f t="array" ref="J64">IF($I64="","",IFERROR(INDEX(Legend!$C$41:$C$45,MATCH($I64,Legend!$B$41:$B$45,0)),""))</f>
        <v/>
      </c>
      <c r="K64" s="23"/>
    </row>
    <row r="65" ht="15.75" customHeight="1">
      <c r="A65" s="21">
        <v>61.0</v>
      </c>
      <c r="B65" s="23" t="s">
        <v>408</v>
      </c>
      <c r="C65" s="23" t="s">
        <v>409</v>
      </c>
      <c r="D65" s="23" t="s">
        <v>468</v>
      </c>
      <c r="E65" s="25" t="s">
        <v>42</v>
      </c>
      <c r="F65" s="32" t="s">
        <v>34</v>
      </c>
      <c r="G65" s="62" t="s">
        <v>49</v>
      </c>
      <c r="H65" s="35" t="s">
        <v>469</v>
      </c>
      <c r="I65" s="40"/>
      <c r="J65" s="40" t="str">
        <f t="array" ref="J65">IF($I65="","",IFERROR(INDEX(Legend!$C$41:$C$45,MATCH($I65,Legend!$B$41:$B$45,0)),""))</f>
        <v/>
      </c>
      <c r="K65" s="23"/>
    </row>
    <row r="66" ht="15.75" customHeight="1">
      <c r="A66" s="21">
        <v>62.0</v>
      </c>
      <c r="B66" s="23" t="s">
        <v>408</v>
      </c>
      <c r="C66" s="23" t="s">
        <v>409</v>
      </c>
      <c r="D66" s="23" t="s">
        <v>475</v>
      </c>
      <c r="E66" s="25" t="s">
        <v>42</v>
      </c>
      <c r="F66" s="32" t="s">
        <v>34</v>
      </c>
      <c r="G66" s="62" t="s">
        <v>49</v>
      </c>
      <c r="H66" s="35" t="s">
        <v>477</v>
      </c>
      <c r="I66" s="40"/>
      <c r="J66" s="40" t="str">
        <f t="array" ref="J66">IF($I66="","",IFERROR(INDEX(Legend!$C$41:$C$45,MATCH($I66,Legend!$B$41:$B$45,0)),""))</f>
        <v/>
      </c>
      <c r="K66" s="23"/>
    </row>
    <row r="67" ht="15.75" customHeight="1">
      <c r="A67" s="21">
        <v>63.0</v>
      </c>
      <c r="B67" s="23" t="s">
        <v>408</v>
      </c>
      <c r="C67" s="23" t="s">
        <v>409</v>
      </c>
      <c r="D67" s="23" t="s">
        <v>484</v>
      </c>
      <c r="E67" s="25" t="s">
        <v>42</v>
      </c>
      <c r="F67" s="26" t="s">
        <v>77</v>
      </c>
      <c r="G67" s="62" t="s">
        <v>49</v>
      </c>
      <c r="H67" s="35" t="s">
        <v>485</v>
      </c>
      <c r="I67" s="40"/>
      <c r="J67" s="40" t="str">
        <f t="array" ref="J67">IF($I67="","",IFERROR(INDEX(Legend!$C$41:$C$45,MATCH($I67,Legend!$B$41:$B$45,0)),""))</f>
        <v/>
      </c>
      <c r="K67" s="23"/>
    </row>
    <row r="68" ht="15.75" customHeight="1">
      <c r="A68" s="21">
        <v>64.0</v>
      </c>
      <c r="B68" s="23" t="s">
        <v>408</v>
      </c>
      <c r="C68" s="23" t="s">
        <v>409</v>
      </c>
      <c r="D68" s="23" t="s">
        <v>489</v>
      </c>
      <c r="E68" s="25" t="s">
        <v>42</v>
      </c>
      <c r="F68" s="32" t="s">
        <v>34</v>
      </c>
      <c r="G68" s="33" t="s">
        <v>50</v>
      </c>
      <c r="H68" s="35" t="s">
        <v>490</v>
      </c>
      <c r="I68" s="40"/>
      <c r="J68" s="40" t="str">
        <f t="array" ref="J68">IF($I68="","",IFERROR(INDEX(Legend!$C$41:$C$45,MATCH($I68,Legend!$B$41:$B$45,0)),""))</f>
        <v/>
      </c>
      <c r="K68" s="23"/>
    </row>
    <row r="69" ht="15.75" customHeight="1">
      <c r="A69" s="21">
        <v>65.0</v>
      </c>
      <c r="B69" s="23" t="s">
        <v>408</v>
      </c>
      <c r="C69" s="23" t="s">
        <v>409</v>
      </c>
      <c r="D69" s="23" t="s">
        <v>497</v>
      </c>
      <c r="E69" s="26" t="s">
        <v>43</v>
      </c>
      <c r="F69" s="32" t="s">
        <v>34</v>
      </c>
      <c r="G69" s="33" t="s">
        <v>50</v>
      </c>
      <c r="H69" s="35" t="s">
        <v>499</v>
      </c>
      <c r="I69" s="40"/>
      <c r="J69" s="40" t="str">
        <f t="array" ref="J69">IF($I69="","",IFERROR(INDEX(Legend!$C$41:$C$45,MATCH($I69,Legend!$B$41:$B$45,0)),""))</f>
        <v/>
      </c>
      <c r="K69" s="23"/>
    </row>
    <row r="70" ht="15.75" customHeight="1">
      <c r="A70" s="21">
        <v>66.0</v>
      </c>
      <c r="B70" s="23" t="s">
        <v>408</v>
      </c>
      <c r="C70" s="23" t="s">
        <v>409</v>
      </c>
      <c r="D70" s="23" t="s">
        <v>505</v>
      </c>
      <c r="E70" s="26" t="s">
        <v>43</v>
      </c>
      <c r="F70" s="32" t="s">
        <v>34</v>
      </c>
      <c r="G70" s="33" t="s">
        <v>50</v>
      </c>
      <c r="H70" s="35" t="s">
        <v>506</v>
      </c>
      <c r="I70" s="40"/>
      <c r="J70" s="40" t="str">
        <f t="array" ref="J70">IF($I70="","",IFERROR(INDEX(Legend!$C$41:$C$45,MATCH($I70,Legend!$B$41:$B$45,0)),""))</f>
        <v/>
      </c>
      <c r="K70" s="23"/>
    </row>
    <row r="71" ht="15.75" customHeight="1">
      <c r="A71" s="21">
        <v>67.0</v>
      </c>
      <c r="B71" s="23" t="s">
        <v>408</v>
      </c>
      <c r="C71" s="23" t="s">
        <v>409</v>
      </c>
      <c r="D71" s="23" t="s">
        <v>510</v>
      </c>
      <c r="E71" s="26" t="s">
        <v>43</v>
      </c>
      <c r="F71" s="32" t="s">
        <v>34</v>
      </c>
      <c r="G71" s="33" t="s">
        <v>50</v>
      </c>
      <c r="H71" s="35" t="s">
        <v>511</v>
      </c>
      <c r="I71" s="40"/>
      <c r="J71" s="40" t="str">
        <f t="array" ref="J71">IF($I71="","",IFERROR(INDEX(Legend!$C$41:$C$45,MATCH($I71,Legend!$B$41:$B$45,0)),""))</f>
        <v/>
      </c>
      <c r="K71" s="23"/>
    </row>
    <row r="72" ht="15.75" customHeight="1">
      <c r="A72" s="21">
        <v>68.0</v>
      </c>
      <c r="B72" s="23" t="s">
        <v>408</v>
      </c>
      <c r="C72" s="23" t="s">
        <v>409</v>
      </c>
      <c r="D72" s="23" t="s">
        <v>515</v>
      </c>
      <c r="E72" s="26" t="s">
        <v>43</v>
      </c>
      <c r="F72" s="32" t="s">
        <v>34</v>
      </c>
      <c r="G72" s="33" t="s">
        <v>50</v>
      </c>
      <c r="H72" s="35" t="s">
        <v>516</v>
      </c>
      <c r="I72" s="40"/>
      <c r="J72" s="40" t="str">
        <f t="array" ref="J72">IF($I72="","",IFERROR(INDEX(Legend!$C$41:$C$45,MATCH($I72,Legend!$B$41:$B$45,0)),""))</f>
        <v/>
      </c>
      <c r="K72" s="23"/>
    </row>
    <row r="73" ht="15.75" customHeight="1">
      <c r="A73" s="21">
        <v>69.0</v>
      </c>
      <c r="B73" s="23" t="s">
        <v>408</v>
      </c>
      <c r="C73" s="23" t="s">
        <v>409</v>
      </c>
      <c r="D73" s="23" t="s">
        <v>523</v>
      </c>
      <c r="E73" s="26" t="s">
        <v>43</v>
      </c>
      <c r="F73" s="26" t="s">
        <v>77</v>
      </c>
      <c r="G73" s="33" t="s">
        <v>50</v>
      </c>
      <c r="H73" s="35" t="s">
        <v>524</v>
      </c>
      <c r="I73" s="40"/>
      <c r="J73" s="40" t="str">
        <f t="array" ref="J73">IF($I73="","",IFERROR(INDEX(Legend!$C$41:$C$45,MATCH($I73,Legend!$B$41:$B$45,0)),""))</f>
        <v/>
      </c>
      <c r="K73" s="23"/>
    </row>
    <row r="74" ht="15.75" customHeight="1">
      <c r="A74" s="21">
        <v>70.0</v>
      </c>
      <c r="B74" s="23" t="s">
        <v>408</v>
      </c>
      <c r="C74" s="23" t="s">
        <v>409</v>
      </c>
      <c r="D74" s="23" t="s">
        <v>528</v>
      </c>
      <c r="E74" s="26" t="s">
        <v>43</v>
      </c>
      <c r="F74" s="26" t="s">
        <v>77</v>
      </c>
      <c r="G74" s="30" t="s">
        <v>47</v>
      </c>
      <c r="H74" s="35" t="s">
        <v>529</v>
      </c>
      <c r="I74" s="40"/>
      <c r="J74" s="40" t="str">
        <f t="array" ref="J74">IF($I74="","",IFERROR(INDEX(Legend!$C$41:$C$45,MATCH($I74,Legend!$B$41:$B$45,0)),""))</f>
        <v/>
      </c>
      <c r="K74" s="23"/>
    </row>
    <row r="75" ht="15.75" customHeight="1">
      <c r="A75" s="21">
        <v>71.0</v>
      </c>
      <c r="B75" s="23" t="s">
        <v>408</v>
      </c>
      <c r="C75" s="23" t="s">
        <v>409</v>
      </c>
      <c r="D75" s="23" t="s">
        <v>536</v>
      </c>
      <c r="E75" s="25" t="s">
        <v>42</v>
      </c>
      <c r="F75" s="32" t="s">
        <v>34</v>
      </c>
      <c r="G75" s="33" t="s">
        <v>50</v>
      </c>
      <c r="H75" s="35" t="s">
        <v>537</v>
      </c>
      <c r="I75" s="40"/>
      <c r="J75" s="40" t="str">
        <f t="array" ref="J75">IF($I75="","",IFERROR(INDEX(Legend!$C$41:$C$45,MATCH($I75,Legend!$B$41:$B$45,0)),""))</f>
        <v/>
      </c>
      <c r="K75" s="23"/>
    </row>
    <row r="76" ht="15.75" customHeight="1">
      <c r="A76" s="21">
        <v>72.0</v>
      </c>
      <c r="B76" s="23" t="s">
        <v>408</v>
      </c>
      <c r="C76" s="23" t="s">
        <v>409</v>
      </c>
      <c r="D76" s="23" t="s">
        <v>541</v>
      </c>
      <c r="E76" s="25" t="s">
        <v>42</v>
      </c>
      <c r="F76" s="32" t="s">
        <v>34</v>
      </c>
      <c r="G76" s="62" t="s">
        <v>49</v>
      </c>
      <c r="H76" s="35" t="s">
        <v>543</v>
      </c>
      <c r="I76" s="40"/>
      <c r="J76" s="40" t="str">
        <f t="array" ref="J76">IF($I76="","",IFERROR(INDEX(Legend!$C$41:$C$45,MATCH($I76,Legend!$B$41:$B$45,0)),""))</f>
        <v/>
      </c>
      <c r="K76" s="23"/>
    </row>
    <row r="77" ht="15.75" customHeight="1">
      <c r="A77" s="21">
        <v>73.0</v>
      </c>
      <c r="B77" s="23" t="s">
        <v>408</v>
      </c>
      <c r="C77" s="23" t="s">
        <v>409</v>
      </c>
      <c r="D77" s="23" t="s">
        <v>550</v>
      </c>
      <c r="E77" s="26" t="s">
        <v>43</v>
      </c>
      <c r="F77" s="32" t="s">
        <v>34</v>
      </c>
      <c r="G77" s="33" t="s">
        <v>50</v>
      </c>
      <c r="H77" s="35" t="s">
        <v>552</v>
      </c>
      <c r="I77" s="40"/>
      <c r="J77" s="40" t="str">
        <f t="array" ref="J77">IF($I77="","",IFERROR(INDEX(Legend!$C$41:$C$45,MATCH($I77,Legend!$B$41:$B$45,0)),""))</f>
        <v/>
      </c>
      <c r="K77" s="23"/>
    </row>
    <row r="78" ht="15.75" customHeight="1">
      <c r="A78" s="21">
        <v>74.0</v>
      </c>
      <c r="B78" s="23" t="s">
        <v>408</v>
      </c>
      <c r="C78" s="23" t="s">
        <v>409</v>
      </c>
      <c r="D78" s="23" t="s">
        <v>557</v>
      </c>
      <c r="E78" s="26" t="s">
        <v>43</v>
      </c>
      <c r="F78" s="32" t="s">
        <v>34</v>
      </c>
      <c r="G78" s="62" t="s">
        <v>49</v>
      </c>
      <c r="H78" s="35" t="s">
        <v>559</v>
      </c>
      <c r="I78" s="40"/>
      <c r="J78" s="40" t="str">
        <f t="array" ref="J78">IF($I78="","",IFERROR(INDEX(Legend!$C$41:$C$45,MATCH($I78,Legend!$B$41:$B$45,0)),""))</f>
        <v/>
      </c>
      <c r="K78" s="23"/>
    </row>
    <row r="79" ht="15.75" customHeight="1">
      <c r="A79" s="21">
        <v>75.0</v>
      </c>
      <c r="B79" s="23" t="s">
        <v>408</v>
      </c>
      <c r="C79" s="23" t="s">
        <v>409</v>
      </c>
      <c r="D79" s="23" t="s">
        <v>563</v>
      </c>
      <c r="E79" s="26" t="s">
        <v>43</v>
      </c>
      <c r="F79" s="26" t="s">
        <v>77</v>
      </c>
      <c r="G79" s="30" t="s">
        <v>47</v>
      </c>
      <c r="H79" s="35" t="s">
        <v>564</v>
      </c>
      <c r="I79" s="40"/>
      <c r="J79" s="40" t="str">
        <f t="array" ref="J79">IF($I79="","",IFERROR(INDEX(Legend!$C$41:$C$45,MATCH($I79,Legend!$B$41:$B$45,0)),""))</f>
        <v/>
      </c>
      <c r="K79" s="23"/>
    </row>
    <row r="80" ht="15.75" customHeight="1">
      <c r="A80" s="21">
        <v>76.0</v>
      </c>
      <c r="B80" s="23" t="s">
        <v>408</v>
      </c>
      <c r="C80" s="23" t="s">
        <v>409</v>
      </c>
      <c r="D80" s="23" t="s">
        <v>572</v>
      </c>
      <c r="E80" s="26" t="s">
        <v>43</v>
      </c>
      <c r="F80" s="26" t="s">
        <v>77</v>
      </c>
      <c r="G80" s="30" t="s">
        <v>47</v>
      </c>
      <c r="H80" s="35" t="s">
        <v>573</v>
      </c>
      <c r="I80" s="40"/>
      <c r="J80" s="40" t="str">
        <f t="array" ref="J80">IF($I80="","",IFERROR(INDEX(Legend!$C$41:$C$45,MATCH($I80,Legend!$B$41:$B$45,0)),""))</f>
        <v/>
      </c>
      <c r="K80" s="23"/>
    </row>
    <row r="81" ht="15.75" customHeight="1">
      <c r="A81" s="21">
        <v>77.0</v>
      </c>
      <c r="B81" s="23" t="s">
        <v>408</v>
      </c>
      <c r="C81" s="23" t="s">
        <v>409</v>
      </c>
      <c r="D81" s="23" t="s">
        <v>575</v>
      </c>
      <c r="E81" s="26" t="s">
        <v>43</v>
      </c>
      <c r="F81" s="26" t="s">
        <v>77</v>
      </c>
      <c r="G81" s="33" t="s">
        <v>50</v>
      </c>
      <c r="H81" s="35" t="s">
        <v>576</v>
      </c>
      <c r="I81" s="40"/>
      <c r="J81" s="40" t="str">
        <f t="array" ref="J81">IF($I81="","",IFERROR(INDEX(Legend!$C$41:$C$45,MATCH($I81,Legend!$B$41:$B$45,0)),""))</f>
        <v/>
      </c>
      <c r="K81" s="23"/>
    </row>
    <row r="82" ht="15.75" customHeight="1">
      <c r="A82" s="21">
        <v>78.0</v>
      </c>
      <c r="B82" s="23" t="s">
        <v>408</v>
      </c>
      <c r="C82" s="23" t="s">
        <v>409</v>
      </c>
      <c r="D82" s="23" t="s">
        <v>579</v>
      </c>
      <c r="E82" s="60" t="s">
        <v>56</v>
      </c>
      <c r="F82" s="26" t="s">
        <v>77</v>
      </c>
      <c r="G82" s="30" t="s">
        <v>47</v>
      </c>
      <c r="H82" s="35" t="s">
        <v>580</v>
      </c>
      <c r="I82" s="40"/>
      <c r="J82" s="40" t="str">
        <f t="array" ref="J82">IF($I82="","",IFERROR(INDEX(Legend!$C$41:$C$45,MATCH($I82,Legend!$B$41:$B$45,0)),""))</f>
        <v/>
      </c>
      <c r="K82" s="23"/>
    </row>
    <row r="83" ht="15.75" customHeight="1">
      <c r="A83" s="21">
        <v>79.0</v>
      </c>
      <c r="B83" s="23" t="s">
        <v>408</v>
      </c>
      <c r="C83" s="23" t="s">
        <v>409</v>
      </c>
      <c r="D83" s="23" t="s">
        <v>583</v>
      </c>
      <c r="E83" s="25" t="s">
        <v>42</v>
      </c>
      <c r="F83" s="32" t="s">
        <v>34</v>
      </c>
      <c r="G83" s="30" t="s">
        <v>47</v>
      </c>
      <c r="H83" s="35" t="s">
        <v>584</v>
      </c>
      <c r="I83" s="40"/>
      <c r="J83" s="40" t="str">
        <f t="array" ref="J83">IF($I83="","",IFERROR(INDEX(Legend!$C$41:$C$45,MATCH($I83,Legend!$B$41:$B$45,0)),""))</f>
        <v/>
      </c>
      <c r="K83" s="23"/>
    </row>
    <row r="84" ht="15.75" customHeight="1">
      <c r="A84" s="21">
        <v>80.0</v>
      </c>
      <c r="B84" s="23" t="s">
        <v>408</v>
      </c>
      <c r="C84" s="23" t="s">
        <v>163</v>
      </c>
      <c r="D84" s="23" t="s">
        <v>589</v>
      </c>
      <c r="E84" s="26" t="s">
        <v>43</v>
      </c>
      <c r="F84" s="32" t="s">
        <v>34</v>
      </c>
      <c r="G84" s="33" t="s">
        <v>50</v>
      </c>
      <c r="H84" s="35"/>
      <c r="I84" s="40"/>
      <c r="J84" s="40" t="str">
        <f t="array" ref="J84">IF($I84="","",IFERROR(INDEX(Legend!$C$41:$C$45,MATCH($I84,Legend!$B$41:$B$45,0)),""))</f>
        <v/>
      </c>
      <c r="K84" s="23"/>
    </row>
    <row r="85" ht="15.75" customHeight="1">
      <c r="A85" s="21">
        <v>81.0</v>
      </c>
      <c r="B85" s="23" t="s">
        <v>408</v>
      </c>
      <c r="C85" s="23" t="s">
        <v>163</v>
      </c>
      <c r="D85" s="23" t="s">
        <v>593</v>
      </c>
      <c r="E85" s="26" t="s">
        <v>43</v>
      </c>
      <c r="F85" s="32" t="s">
        <v>34</v>
      </c>
      <c r="G85" s="33" t="s">
        <v>50</v>
      </c>
      <c r="H85" s="35"/>
      <c r="I85" s="40"/>
      <c r="J85" s="40" t="str">
        <f t="array" ref="J85">IF($I85="","",IFERROR(INDEX(Legend!$C$41:$C$45,MATCH($I85,Legend!$B$41:$B$45,0)),""))</f>
        <v/>
      </c>
      <c r="K85" s="23"/>
    </row>
    <row r="86" ht="15.75" customHeight="1">
      <c r="A86" s="21">
        <v>82.0</v>
      </c>
      <c r="B86" s="23" t="s">
        <v>408</v>
      </c>
      <c r="C86" s="23" t="s">
        <v>163</v>
      </c>
      <c r="D86" s="23" t="s">
        <v>597</v>
      </c>
      <c r="E86" s="26" t="s">
        <v>43</v>
      </c>
      <c r="F86" s="32" t="s">
        <v>34</v>
      </c>
      <c r="G86" s="33" t="s">
        <v>50</v>
      </c>
      <c r="H86" s="35"/>
      <c r="I86" s="40"/>
      <c r="J86" s="40" t="str">
        <f t="array" ref="J86">IF($I86="","",IFERROR(INDEX(Legend!$C$41:$C$45,MATCH($I86,Legend!$B$41:$B$45,0)),""))</f>
        <v/>
      </c>
      <c r="K86" s="23"/>
    </row>
    <row r="87" ht="15.75" customHeight="1">
      <c r="A87" s="21">
        <v>83.0</v>
      </c>
      <c r="B87" s="23" t="s">
        <v>408</v>
      </c>
      <c r="C87" s="23" t="s">
        <v>163</v>
      </c>
      <c r="D87" s="23" t="s">
        <v>601</v>
      </c>
      <c r="E87" s="26" t="s">
        <v>43</v>
      </c>
      <c r="F87" s="32" t="s">
        <v>34</v>
      </c>
      <c r="G87" s="33" t="s">
        <v>50</v>
      </c>
      <c r="H87" s="35"/>
      <c r="I87" s="40"/>
      <c r="J87" s="40" t="str">
        <f t="array" ref="J87">IF($I87="","",IFERROR(INDEX(Legend!$C$41:$C$45,MATCH($I87,Legend!$B$41:$B$45,0)),""))</f>
        <v/>
      </c>
      <c r="K87" s="23"/>
    </row>
    <row r="88" ht="15.75" customHeight="1">
      <c r="A88" s="21">
        <v>84.0</v>
      </c>
      <c r="B88" s="23" t="s">
        <v>408</v>
      </c>
      <c r="C88" s="23" t="s">
        <v>163</v>
      </c>
      <c r="D88" s="23" t="s">
        <v>605</v>
      </c>
      <c r="E88" s="26" t="s">
        <v>43</v>
      </c>
      <c r="F88" s="32" t="s">
        <v>34</v>
      </c>
      <c r="G88" s="33" t="s">
        <v>50</v>
      </c>
      <c r="H88" s="35"/>
      <c r="I88" s="40"/>
      <c r="J88" s="40" t="str">
        <f t="array" ref="J88">IF($I88="","",IFERROR(INDEX(Legend!$C$41:$C$45,MATCH($I88,Legend!$B$41:$B$45,0)),""))</f>
        <v/>
      </c>
      <c r="K88" s="23"/>
    </row>
    <row r="89" ht="15.75" customHeight="1">
      <c r="A89" s="21">
        <v>85.0</v>
      </c>
      <c r="B89" s="23" t="s">
        <v>408</v>
      </c>
      <c r="C89" s="23" t="s">
        <v>163</v>
      </c>
      <c r="D89" s="23" t="s">
        <v>610</v>
      </c>
      <c r="E89" s="26" t="s">
        <v>43</v>
      </c>
      <c r="F89" s="29" t="s">
        <v>46</v>
      </c>
      <c r="G89" s="30" t="s">
        <v>47</v>
      </c>
      <c r="H89" s="35"/>
      <c r="I89" s="40"/>
      <c r="J89" s="40" t="str">
        <f t="array" ref="J89">IF($I89="","",IFERROR(INDEX(Legend!$C$41:$C$45,MATCH($I89,Legend!$B$41:$B$45,0)),""))</f>
        <v/>
      </c>
      <c r="K89" s="23"/>
    </row>
    <row r="90" ht="15.75" customHeight="1">
      <c r="A90" s="21">
        <v>86.0</v>
      </c>
      <c r="B90" s="23" t="s">
        <v>408</v>
      </c>
      <c r="C90" s="23" t="s">
        <v>163</v>
      </c>
      <c r="D90" s="23" t="s">
        <v>616</v>
      </c>
      <c r="E90" s="26" t="s">
        <v>43</v>
      </c>
      <c r="F90" s="32" t="s">
        <v>34</v>
      </c>
      <c r="G90" s="33" t="s">
        <v>50</v>
      </c>
      <c r="H90" s="35"/>
      <c r="I90" s="40"/>
      <c r="J90" s="40" t="str">
        <f t="array" ref="J90">IF($I90="","",IFERROR(INDEX(Legend!$C$41:$C$45,MATCH($I90,Legend!$B$41:$B$45,0)),""))</f>
        <v/>
      </c>
      <c r="K90" s="23"/>
    </row>
    <row r="91" ht="15.75" customHeight="1">
      <c r="A91" s="21">
        <v>87.0</v>
      </c>
      <c r="B91" s="23" t="s">
        <v>408</v>
      </c>
      <c r="C91" s="23" t="s">
        <v>163</v>
      </c>
      <c r="D91" s="23" t="s">
        <v>623</v>
      </c>
      <c r="E91" s="26" t="s">
        <v>43</v>
      </c>
      <c r="F91" s="32" t="s">
        <v>34</v>
      </c>
      <c r="G91" s="33" t="s">
        <v>50</v>
      </c>
      <c r="H91" s="35"/>
      <c r="I91" s="40"/>
      <c r="J91" s="40" t="str">
        <f t="array" ref="J91">IF($I91="","",IFERROR(INDEX(Legend!$C$41:$C$45,MATCH($I91,Legend!$B$41:$B$45,0)),""))</f>
        <v/>
      </c>
      <c r="K91" s="23"/>
    </row>
    <row r="92" ht="15.75" customHeight="1">
      <c r="A92" s="21">
        <v>88.0</v>
      </c>
      <c r="B92" s="23" t="s">
        <v>408</v>
      </c>
      <c r="C92" s="23" t="s">
        <v>163</v>
      </c>
      <c r="D92" s="23" t="s">
        <v>627</v>
      </c>
      <c r="E92" s="26" t="s">
        <v>43</v>
      </c>
      <c r="F92" s="32" t="s">
        <v>34</v>
      </c>
      <c r="G92" s="33" t="s">
        <v>50</v>
      </c>
      <c r="H92" s="35"/>
      <c r="I92" s="40"/>
      <c r="J92" s="40" t="str">
        <f t="array" ref="J92">IF($I92="","",IFERROR(INDEX(Legend!$C$41:$C$45,MATCH($I92,Legend!$B$41:$B$45,0)),""))</f>
        <v/>
      </c>
      <c r="K92" s="23"/>
    </row>
    <row r="93" ht="15.75" customHeight="1">
      <c r="A93" s="21">
        <v>89.0</v>
      </c>
      <c r="B93" s="23" t="s">
        <v>408</v>
      </c>
      <c r="C93" s="23" t="s">
        <v>163</v>
      </c>
      <c r="D93" s="23" t="s">
        <v>638</v>
      </c>
      <c r="E93" s="26" t="s">
        <v>43</v>
      </c>
      <c r="F93" s="32" t="s">
        <v>34</v>
      </c>
      <c r="G93" s="33" t="s">
        <v>50</v>
      </c>
      <c r="H93" s="35"/>
      <c r="I93" s="40"/>
      <c r="J93" s="40" t="str">
        <f t="array" ref="J93">IF($I93="","",IFERROR(INDEX(Legend!$C$41:$C$45,MATCH($I93,Legend!$B$41:$B$45,0)),""))</f>
        <v/>
      </c>
      <c r="K93" s="23"/>
    </row>
    <row r="94" ht="15.75" customHeight="1">
      <c r="A94" s="21">
        <v>90.0</v>
      </c>
      <c r="B94" s="23" t="s">
        <v>408</v>
      </c>
      <c r="C94" s="23" t="s">
        <v>163</v>
      </c>
      <c r="D94" s="23" t="s">
        <v>663</v>
      </c>
      <c r="E94" s="60" t="s">
        <v>56</v>
      </c>
      <c r="F94" s="29" t="s">
        <v>46</v>
      </c>
      <c r="G94" s="30" t="s">
        <v>47</v>
      </c>
      <c r="H94" s="35"/>
      <c r="I94" s="40"/>
      <c r="J94" s="40" t="str">
        <f t="array" ref="J94">IF($I94="","",IFERROR(INDEX(Legend!$C$41:$C$45,MATCH($I94,Legend!$B$41:$B$45,0)),""))</f>
        <v/>
      </c>
      <c r="K94" s="23"/>
    </row>
    <row r="95" ht="15.75" customHeight="1">
      <c r="A95" s="21">
        <v>91.0</v>
      </c>
      <c r="B95" s="23" t="s">
        <v>408</v>
      </c>
      <c r="C95" s="23" t="s">
        <v>163</v>
      </c>
      <c r="D95" s="23" t="s">
        <v>702</v>
      </c>
      <c r="E95" s="26" t="s">
        <v>43</v>
      </c>
      <c r="F95" s="32" t="s">
        <v>34</v>
      </c>
      <c r="G95" s="33" t="s">
        <v>50</v>
      </c>
      <c r="H95" s="35"/>
      <c r="I95" s="40"/>
      <c r="J95" s="40" t="str">
        <f t="array" ref="J95">IF($I95="","",IFERROR(INDEX(Legend!$C$41:$C$45,MATCH($I95,Legend!$B$41:$B$45,0)),""))</f>
        <v/>
      </c>
      <c r="K95" s="23"/>
    </row>
    <row r="96" ht="15.75" customHeight="1">
      <c r="A96" s="21">
        <v>92.0</v>
      </c>
      <c r="B96" s="23" t="s">
        <v>408</v>
      </c>
      <c r="C96" s="23" t="s">
        <v>163</v>
      </c>
      <c r="D96" s="23" t="s">
        <v>746</v>
      </c>
      <c r="E96" s="26" t="s">
        <v>43</v>
      </c>
      <c r="F96" s="32" t="s">
        <v>34</v>
      </c>
      <c r="G96" s="33" t="s">
        <v>50</v>
      </c>
      <c r="H96" s="35"/>
      <c r="I96" s="40"/>
      <c r="J96" s="40" t="str">
        <f t="array" ref="J96">IF($I96="","",IFERROR(INDEX(Legend!$C$41:$C$45,MATCH($I96,Legend!$B$41:$B$45,0)),""))</f>
        <v/>
      </c>
      <c r="K96" s="23"/>
    </row>
    <row r="97" ht="15.75" customHeight="1">
      <c r="A97" s="21">
        <v>93.0</v>
      </c>
      <c r="B97" s="23" t="s">
        <v>408</v>
      </c>
      <c r="C97" s="23" t="s">
        <v>163</v>
      </c>
      <c r="D97" s="23" t="s">
        <v>784</v>
      </c>
      <c r="E97" s="26" t="s">
        <v>43</v>
      </c>
      <c r="F97" s="29" t="s">
        <v>46</v>
      </c>
      <c r="G97" s="30" t="s">
        <v>47</v>
      </c>
      <c r="H97" s="35"/>
      <c r="I97" s="40"/>
      <c r="J97" s="40" t="str">
        <f t="array" ref="J97">IF($I97="","",IFERROR(INDEX(Legend!$C$41:$C$45,MATCH($I97,Legend!$B$41:$B$45,0)),""))</f>
        <v/>
      </c>
      <c r="K97" s="23"/>
    </row>
    <row r="98" ht="15.75" customHeight="1">
      <c r="A98" s="21">
        <v>94.0</v>
      </c>
      <c r="B98" s="23" t="s">
        <v>408</v>
      </c>
      <c r="C98" s="23" t="s">
        <v>163</v>
      </c>
      <c r="D98" s="23" t="s">
        <v>788</v>
      </c>
      <c r="E98" s="26" t="s">
        <v>43</v>
      </c>
      <c r="F98" s="29" t="s">
        <v>46</v>
      </c>
      <c r="G98" s="30" t="s">
        <v>47</v>
      </c>
      <c r="H98" s="35" t="s">
        <v>789</v>
      </c>
      <c r="I98" s="40"/>
      <c r="J98" s="40" t="str">
        <f t="array" ref="J98">IF($I98="","",IFERROR(INDEX(Legend!$C$41:$C$45,MATCH($I98,Legend!$B$41:$B$45,0)),""))</f>
        <v/>
      </c>
      <c r="K98" s="23"/>
    </row>
    <row r="99" ht="15.75" customHeight="1">
      <c r="A99" s="21">
        <v>95.0</v>
      </c>
      <c r="B99" s="23" t="s">
        <v>408</v>
      </c>
      <c r="C99" s="23" t="s">
        <v>163</v>
      </c>
      <c r="D99" s="23" t="s">
        <v>792</v>
      </c>
      <c r="E99" s="26" t="s">
        <v>43</v>
      </c>
      <c r="F99" s="32" t="s">
        <v>34</v>
      </c>
      <c r="G99" s="33" t="s">
        <v>50</v>
      </c>
      <c r="H99" s="35"/>
      <c r="I99" s="40"/>
      <c r="J99" s="40" t="str">
        <f t="array" ref="J99">IF($I99="","",IFERROR(INDEX(Legend!$C$41:$C$45,MATCH($I99,Legend!$B$41:$B$45,0)),""))</f>
        <v/>
      </c>
      <c r="K99" s="23"/>
    </row>
    <row r="100" ht="15.75" customHeight="1">
      <c r="A100" s="21">
        <v>96.0</v>
      </c>
      <c r="B100" s="23" t="s">
        <v>408</v>
      </c>
      <c r="C100" s="23" t="s">
        <v>163</v>
      </c>
      <c r="D100" s="23" t="s">
        <v>797</v>
      </c>
      <c r="E100" s="60" t="s">
        <v>56</v>
      </c>
      <c r="F100" s="29" t="s">
        <v>46</v>
      </c>
      <c r="G100" s="30" t="s">
        <v>47</v>
      </c>
      <c r="H100" s="35"/>
      <c r="I100" s="40"/>
      <c r="J100" s="40" t="str">
        <f t="array" ref="J100">IF($I100="","",IFERROR(INDEX(Legend!$C$41:$C$45,MATCH($I100,Legend!$B$41:$B$45,0)),""))</f>
        <v/>
      </c>
      <c r="K100" s="23"/>
    </row>
    <row r="101" ht="15.75" customHeight="1">
      <c r="A101" s="21">
        <v>97.0</v>
      </c>
      <c r="B101" s="23" t="s">
        <v>408</v>
      </c>
      <c r="C101" s="23" t="s">
        <v>163</v>
      </c>
      <c r="D101" s="23" t="s">
        <v>801</v>
      </c>
      <c r="E101" s="60" t="s">
        <v>56</v>
      </c>
      <c r="F101" s="29" t="s">
        <v>46</v>
      </c>
      <c r="G101" s="30" t="s">
        <v>47</v>
      </c>
      <c r="H101" s="35"/>
      <c r="I101" s="40"/>
      <c r="J101" s="40" t="str">
        <f t="array" ref="J101">IF($I101="","",IFERROR(INDEX(Legend!$C$41:$C$45,MATCH($I101,Legend!$B$41:$B$45,0)),""))</f>
        <v/>
      </c>
      <c r="K101" s="23"/>
    </row>
    <row r="102" ht="15.75" customHeight="1">
      <c r="A102" s="21">
        <v>98.0</v>
      </c>
      <c r="B102" s="23" t="s">
        <v>408</v>
      </c>
      <c r="C102" s="23" t="s">
        <v>163</v>
      </c>
      <c r="D102" s="23" t="s">
        <v>805</v>
      </c>
      <c r="E102" s="60" t="s">
        <v>56</v>
      </c>
      <c r="F102" s="29" t="s">
        <v>46</v>
      </c>
      <c r="G102" s="30" t="s">
        <v>47</v>
      </c>
      <c r="H102" s="35"/>
      <c r="I102" s="40"/>
      <c r="J102" s="40" t="str">
        <f t="array" ref="J102">IF($I102="","",IFERROR(INDEX(Legend!$C$41:$C$45,MATCH($I102,Legend!$B$41:$B$45,0)),""))</f>
        <v/>
      </c>
      <c r="K102" s="23"/>
    </row>
    <row r="103" ht="15.75" customHeight="1">
      <c r="A103" s="21">
        <v>99.0</v>
      </c>
      <c r="B103" s="23" t="s">
        <v>811</v>
      </c>
      <c r="C103" s="23" t="s">
        <v>812</v>
      </c>
      <c r="D103" s="23" t="s">
        <v>813</v>
      </c>
      <c r="E103" s="25" t="s">
        <v>42</v>
      </c>
      <c r="F103" s="32" t="s">
        <v>34</v>
      </c>
      <c r="G103" s="33" t="s">
        <v>50</v>
      </c>
      <c r="H103" s="35" t="s">
        <v>814</v>
      </c>
      <c r="I103" s="40"/>
      <c r="J103" s="40" t="str">
        <f t="array" ref="J103">IF($I103="","",IFERROR(INDEX(Legend!$C$41:$C$45,MATCH($I103,Legend!$B$41:$B$45,0)),""))</f>
        <v/>
      </c>
      <c r="K103" s="23"/>
    </row>
    <row r="104" ht="15.75" customHeight="1">
      <c r="A104" s="21">
        <v>100.0</v>
      </c>
      <c r="B104" s="23" t="s">
        <v>811</v>
      </c>
      <c r="C104" s="23" t="s">
        <v>812</v>
      </c>
      <c r="D104" s="23" t="s">
        <v>818</v>
      </c>
      <c r="E104" s="26" t="s">
        <v>43</v>
      </c>
      <c r="F104" s="26" t="s">
        <v>77</v>
      </c>
      <c r="G104" s="33" t="s">
        <v>50</v>
      </c>
      <c r="H104" s="35" t="s">
        <v>819</v>
      </c>
      <c r="I104" s="40"/>
      <c r="J104" s="40" t="str">
        <f t="array" ref="J104">IF($I104="","",IFERROR(INDEX(Legend!$C$41:$C$45,MATCH($I104,Legend!$B$41:$B$45,0)),""))</f>
        <v/>
      </c>
      <c r="K104" s="23"/>
    </row>
    <row r="105" ht="15.75" customHeight="1">
      <c r="A105" s="21">
        <v>101.0</v>
      </c>
      <c r="B105" s="23" t="s">
        <v>811</v>
      </c>
      <c r="C105" s="23" t="s">
        <v>812</v>
      </c>
      <c r="D105" s="23" t="s">
        <v>823</v>
      </c>
      <c r="E105" s="26" t="s">
        <v>43</v>
      </c>
      <c r="F105" s="32" t="s">
        <v>34</v>
      </c>
      <c r="G105" s="33" t="s">
        <v>50</v>
      </c>
      <c r="H105" s="35" t="s">
        <v>824</v>
      </c>
      <c r="I105" s="40"/>
      <c r="J105" s="40" t="str">
        <f t="array" ref="J105">IF($I105="","",IFERROR(INDEX(Legend!$C$41:$C$45,MATCH($I105,Legend!$B$41:$B$45,0)),""))</f>
        <v/>
      </c>
      <c r="K105" s="23"/>
    </row>
    <row r="106" ht="15.75" customHeight="1">
      <c r="A106" s="21">
        <v>102.0</v>
      </c>
      <c r="B106" s="23" t="s">
        <v>811</v>
      </c>
      <c r="C106" s="23" t="s">
        <v>812</v>
      </c>
      <c r="D106" s="23" t="s">
        <v>828</v>
      </c>
      <c r="E106" s="26" t="s">
        <v>43</v>
      </c>
      <c r="F106" s="26" t="s">
        <v>77</v>
      </c>
      <c r="G106" s="33" t="s">
        <v>50</v>
      </c>
      <c r="H106" s="35" t="s">
        <v>829</v>
      </c>
      <c r="I106" s="40"/>
      <c r="J106" s="40" t="str">
        <f t="array" ref="J106">IF($I106="","",IFERROR(INDEX(Legend!$C$41:$C$45,MATCH($I106,Legend!$B$41:$B$45,0)),""))</f>
        <v/>
      </c>
      <c r="K106" s="23"/>
    </row>
    <row r="107" ht="15.75" customHeight="1">
      <c r="A107" s="21">
        <v>103.0</v>
      </c>
      <c r="B107" s="23" t="s">
        <v>811</v>
      </c>
      <c r="C107" s="23" t="s">
        <v>812</v>
      </c>
      <c r="D107" s="23" t="s">
        <v>834</v>
      </c>
      <c r="E107" s="26" t="s">
        <v>43</v>
      </c>
      <c r="F107" s="26" t="s">
        <v>77</v>
      </c>
      <c r="G107" s="33" t="s">
        <v>50</v>
      </c>
      <c r="H107" s="35" t="s">
        <v>836</v>
      </c>
      <c r="I107" s="40"/>
      <c r="J107" s="40" t="str">
        <f t="array" ref="J107">IF($I107="","",IFERROR(INDEX(Legend!$C$41:$C$45,MATCH($I107,Legend!$B$41:$B$45,0)),""))</f>
        <v/>
      </c>
      <c r="K107" s="23"/>
    </row>
    <row r="108" ht="15.75" customHeight="1">
      <c r="A108" s="21">
        <v>104.0</v>
      </c>
      <c r="B108" s="23" t="s">
        <v>811</v>
      </c>
      <c r="C108" s="23" t="s">
        <v>812</v>
      </c>
      <c r="D108" s="23" t="s">
        <v>842</v>
      </c>
      <c r="E108" s="26" t="s">
        <v>43</v>
      </c>
      <c r="F108" s="26" t="s">
        <v>77</v>
      </c>
      <c r="G108" s="30" t="s">
        <v>47</v>
      </c>
      <c r="H108" s="35" t="s">
        <v>843</v>
      </c>
      <c r="I108" s="40"/>
      <c r="J108" s="40" t="str">
        <f t="array" ref="J108">IF($I108="","",IFERROR(INDEX(Legend!$C$41:$C$45,MATCH($I108,Legend!$B$41:$B$45,0)),""))</f>
        <v/>
      </c>
      <c r="K108" s="23"/>
    </row>
    <row r="109" ht="15.75" customHeight="1">
      <c r="A109" s="21">
        <v>105.0</v>
      </c>
      <c r="B109" s="23" t="s">
        <v>811</v>
      </c>
      <c r="C109" s="23" t="s">
        <v>812</v>
      </c>
      <c r="D109" s="23" t="s">
        <v>848</v>
      </c>
      <c r="E109" s="26" t="s">
        <v>43</v>
      </c>
      <c r="F109" s="32" t="s">
        <v>34</v>
      </c>
      <c r="G109" s="30" t="s">
        <v>47</v>
      </c>
      <c r="H109" s="35" t="s">
        <v>849</v>
      </c>
      <c r="I109" s="40"/>
      <c r="J109" s="40" t="str">
        <f t="array" ref="J109">IF($I109="","",IFERROR(INDEX(Legend!$C$41:$C$45,MATCH($I109,Legend!$B$41:$B$45,0)),""))</f>
        <v/>
      </c>
      <c r="K109" s="23"/>
    </row>
    <row r="110" ht="15.75" customHeight="1">
      <c r="A110" s="21">
        <v>106.0</v>
      </c>
      <c r="B110" s="23" t="s">
        <v>811</v>
      </c>
      <c r="C110" s="23" t="s">
        <v>812</v>
      </c>
      <c r="D110" s="23" t="s">
        <v>856</v>
      </c>
      <c r="E110" s="26" t="s">
        <v>43</v>
      </c>
      <c r="F110" s="32" t="s">
        <v>34</v>
      </c>
      <c r="G110" s="33" t="s">
        <v>50</v>
      </c>
      <c r="H110" s="35" t="s">
        <v>858</v>
      </c>
      <c r="I110" s="40"/>
      <c r="J110" s="40" t="str">
        <f t="array" ref="J110">IF($I110="","",IFERROR(INDEX(Legend!$C$41:$C$45,MATCH($I110,Legend!$B$41:$B$45,0)),""))</f>
        <v/>
      </c>
      <c r="K110" s="23"/>
    </row>
    <row r="111" ht="15.75" customHeight="1">
      <c r="A111" s="21">
        <v>107.0</v>
      </c>
      <c r="B111" s="23" t="s">
        <v>811</v>
      </c>
      <c r="C111" s="23" t="s">
        <v>812</v>
      </c>
      <c r="D111" s="23" t="s">
        <v>862</v>
      </c>
      <c r="E111" s="26" t="s">
        <v>43</v>
      </c>
      <c r="F111" s="32" t="s">
        <v>34</v>
      </c>
      <c r="G111" s="33" t="s">
        <v>50</v>
      </c>
      <c r="H111" s="35" t="s">
        <v>863</v>
      </c>
      <c r="I111" s="40"/>
      <c r="J111" s="40" t="str">
        <f t="array" ref="J111">IF($I111="","",IFERROR(INDEX(Legend!$C$41:$C$45,MATCH($I111,Legend!$B$41:$B$45,0)),""))</f>
        <v/>
      </c>
      <c r="K111" s="23"/>
    </row>
    <row r="112" ht="15.75" customHeight="1">
      <c r="A112" s="21">
        <v>108.0</v>
      </c>
      <c r="B112" s="23" t="s">
        <v>811</v>
      </c>
      <c r="C112" s="23" t="s">
        <v>812</v>
      </c>
      <c r="D112" s="23" t="s">
        <v>870</v>
      </c>
      <c r="E112" s="26" t="s">
        <v>43</v>
      </c>
      <c r="F112" s="32" t="s">
        <v>34</v>
      </c>
      <c r="G112" s="33" t="s">
        <v>50</v>
      </c>
      <c r="H112" s="35" t="s">
        <v>871</v>
      </c>
      <c r="I112" s="40"/>
      <c r="J112" s="40" t="str">
        <f t="array" ref="J112">IF($I112="","",IFERROR(INDEX(Legend!$C$41:$C$45,MATCH($I112,Legend!$B$41:$B$45,0)),""))</f>
        <v/>
      </c>
      <c r="K112" s="23"/>
    </row>
    <row r="113" ht="15.75" customHeight="1">
      <c r="A113" s="21">
        <v>109.0</v>
      </c>
      <c r="B113" s="23" t="s">
        <v>811</v>
      </c>
      <c r="C113" s="23" t="s">
        <v>812</v>
      </c>
      <c r="D113" s="23" t="s">
        <v>876</v>
      </c>
      <c r="E113" s="26" t="s">
        <v>43</v>
      </c>
      <c r="F113" s="32" t="s">
        <v>34</v>
      </c>
      <c r="G113" s="30" t="s">
        <v>47</v>
      </c>
      <c r="H113" s="35" t="s">
        <v>879</v>
      </c>
      <c r="I113" s="40"/>
      <c r="J113" s="40" t="str">
        <f t="array" ref="J113">IF($I113="","",IFERROR(INDEX(Legend!$C$41:$C$45,MATCH($I113,Legend!$B$41:$B$45,0)),""))</f>
        <v/>
      </c>
      <c r="K113" s="23"/>
    </row>
    <row r="114" ht="15.75" customHeight="1">
      <c r="A114" s="21">
        <v>110.0</v>
      </c>
      <c r="B114" s="23" t="s">
        <v>811</v>
      </c>
      <c r="C114" s="23" t="s">
        <v>812</v>
      </c>
      <c r="D114" s="23" t="s">
        <v>886</v>
      </c>
      <c r="E114" s="60" t="s">
        <v>56</v>
      </c>
      <c r="F114" s="29" t="s">
        <v>46</v>
      </c>
      <c r="G114" s="30" t="s">
        <v>47</v>
      </c>
      <c r="H114" s="35" t="s">
        <v>889</v>
      </c>
      <c r="I114" s="40"/>
      <c r="J114" s="40" t="str">
        <f t="array" ref="J114">IF($I114="","",IFERROR(INDEX(Legend!$C$41:$C$45,MATCH($I114,Legend!$B$41:$B$45,0)),""))</f>
        <v/>
      </c>
      <c r="K114" s="23"/>
    </row>
    <row r="115" ht="15.75" customHeight="1">
      <c r="A115" s="21">
        <v>111.0</v>
      </c>
      <c r="B115" s="23" t="s">
        <v>811</v>
      </c>
      <c r="C115" s="23" t="s">
        <v>812</v>
      </c>
      <c r="D115" s="23" t="s">
        <v>893</v>
      </c>
      <c r="E115" s="25" t="s">
        <v>42</v>
      </c>
      <c r="F115" s="32" t="s">
        <v>34</v>
      </c>
      <c r="G115" s="30" t="s">
        <v>47</v>
      </c>
      <c r="H115" s="35" t="s">
        <v>894</v>
      </c>
      <c r="I115" s="40"/>
      <c r="J115" s="40" t="str">
        <f t="array" ref="J115">IF($I115="","",IFERROR(INDEX(Legend!$C$41:$C$45,MATCH($I115,Legend!$B$41:$B$45,0)),""))</f>
        <v/>
      </c>
      <c r="K115" s="23"/>
    </row>
    <row r="116" ht="15.75" customHeight="1">
      <c r="A116" s="21">
        <v>112.0</v>
      </c>
      <c r="B116" s="23" t="s">
        <v>811</v>
      </c>
      <c r="C116" s="23" t="s">
        <v>812</v>
      </c>
      <c r="D116" s="23" t="s">
        <v>900</v>
      </c>
      <c r="E116" s="26" t="s">
        <v>43</v>
      </c>
      <c r="F116" s="32" t="s">
        <v>34</v>
      </c>
      <c r="G116" s="30" t="s">
        <v>47</v>
      </c>
      <c r="H116" s="35" t="s">
        <v>903</v>
      </c>
      <c r="I116" s="40"/>
      <c r="J116" s="40" t="str">
        <f t="array" ref="J116">IF($I116="","",IFERROR(INDEX(Legend!$C$41:$C$45,MATCH($I116,Legend!$B$41:$B$45,0)),""))</f>
        <v/>
      </c>
      <c r="K116" s="23"/>
    </row>
    <row r="117" ht="15.75" customHeight="1">
      <c r="A117" s="21">
        <v>113.0</v>
      </c>
      <c r="B117" s="23" t="s">
        <v>811</v>
      </c>
      <c r="C117" s="23" t="s">
        <v>812</v>
      </c>
      <c r="D117" s="23" t="s">
        <v>905</v>
      </c>
      <c r="E117" s="26" t="s">
        <v>43</v>
      </c>
      <c r="F117" s="32" t="s">
        <v>34</v>
      </c>
      <c r="G117" s="30" t="s">
        <v>47</v>
      </c>
      <c r="H117" s="35" t="s">
        <v>907</v>
      </c>
      <c r="I117" s="40"/>
      <c r="J117" s="40" t="str">
        <f t="array" ref="J117">IF($I117="","",IFERROR(INDEX(Legend!$C$41:$C$45,MATCH($I117,Legend!$B$41:$B$45,0)),""))</f>
        <v/>
      </c>
      <c r="K117" s="23"/>
    </row>
    <row r="118" ht="15.75" customHeight="1">
      <c r="A118" s="21">
        <v>114.0</v>
      </c>
      <c r="B118" s="23" t="s">
        <v>811</v>
      </c>
      <c r="C118" s="23" t="s">
        <v>812</v>
      </c>
      <c r="D118" s="23" t="s">
        <v>910</v>
      </c>
      <c r="E118" s="26" t="s">
        <v>43</v>
      </c>
      <c r="F118" s="29" t="s">
        <v>46</v>
      </c>
      <c r="G118" s="30" t="s">
        <v>47</v>
      </c>
      <c r="H118" s="35" t="s">
        <v>911</v>
      </c>
      <c r="I118" s="40"/>
      <c r="J118" s="40" t="str">
        <f t="array" ref="J118">IF($I118="","",IFERROR(INDEX(Legend!$C$41:$C$45,MATCH($I118,Legend!$B$41:$B$45,0)),""))</f>
        <v/>
      </c>
      <c r="K118" s="23"/>
    </row>
    <row r="119" ht="15.75" customHeight="1">
      <c r="A119" s="21">
        <v>115.0</v>
      </c>
      <c r="B119" s="23" t="s">
        <v>811</v>
      </c>
      <c r="C119" s="23" t="s">
        <v>812</v>
      </c>
      <c r="D119" s="23" t="s">
        <v>916</v>
      </c>
      <c r="E119" s="26" t="s">
        <v>43</v>
      </c>
      <c r="F119" s="29" t="s">
        <v>46</v>
      </c>
      <c r="G119" s="30" t="s">
        <v>47</v>
      </c>
      <c r="H119" s="35" t="s">
        <v>917</v>
      </c>
      <c r="I119" s="40"/>
      <c r="J119" s="40" t="str">
        <f t="array" ref="J119">IF($I119="","",IFERROR(INDEX(Legend!$C$41:$C$45,MATCH($I119,Legend!$B$41:$B$45,0)),""))</f>
        <v/>
      </c>
      <c r="K119" s="23"/>
    </row>
    <row r="120" ht="15.75" customHeight="1">
      <c r="A120" s="21">
        <v>116.0</v>
      </c>
      <c r="B120" s="23" t="s">
        <v>811</v>
      </c>
      <c r="C120" s="23" t="s">
        <v>812</v>
      </c>
      <c r="D120" s="23" t="s">
        <v>921</v>
      </c>
      <c r="E120" s="26" t="s">
        <v>43</v>
      </c>
      <c r="F120" s="26" t="s">
        <v>77</v>
      </c>
      <c r="G120" s="30" t="s">
        <v>47</v>
      </c>
      <c r="H120" s="35" t="s">
        <v>922</v>
      </c>
      <c r="I120" s="40"/>
      <c r="J120" s="40" t="str">
        <f t="array" ref="J120">IF($I120="","",IFERROR(INDEX(Legend!$C$41:$C$45,MATCH($I120,Legend!$B$41:$B$45,0)),""))</f>
        <v/>
      </c>
      <c r="K120" s="23"/>
    </row>
    <row r="121" ht="15.75" customHeight="1">
      <c r="A121" s="21">
        <v>117.0</v>
      </c>
      <c r="B121" s="23" t="s">
        <v>811</v>
      </c>
      <c r="C121" s="23" t="s">
        <v>163</v>
      </c>
      <c r="D121" s="23" t="s">
        <v>927</v>
      </c>
      <c r="E121" s="26" t="s">
        <v>43</v>
      </c>
      <c r="F121" s="32" t="s">
        <v>34</v>
      </c>
      <c r="G121" s="33" t="s">
        <v>50</v>
      </c>
      <c r="H121" s="35" t="s">
        <v>928</v>
      </c>
      <c r="I121" s="40"/>
      <c r="J121" s="40" t="str">
        <f t="array" ref="J121">IF($I121="","",IFERROR(INDEX(Legend!$C$41:$C$45,MATCH($I121,Legend!$B$41:$B$45,0)),""))</f>
        <v/>
      </c>
      <c r="K121" s="23"/>
    </row>
    <row r="122" ht="15.75" customHeight="1">
      <c r="A122" s="21">
        <v>118.0</v>
      </c>
      <c r="B122" s="23" t="s">
        <v>811</v>
      </c>
      <c r="C122" s="23" t="s">
        <v>163</v>
      </c>
      <c r="D122" s="23" t="s">
        <v>933</v>
      </c>
      <c r="E122" s="26" t="s">
        <v>43</v>
      </c>
      <c r="F122" s="32" t="s">
        <v>34</v>
      </c>
      <c r="G122" s="33" t="s">
        <v>50</v>
      </c>
      <c r="H122" s="35"/>
      <c r="I122" s="40"/>
      <c r="J122" s="40" t="str">
        <f t="array" ref="J122">IF($I122="","",IFERROR(INDEX(Legend!$C$41:$C$45,MATCH($I122,Legend!$B$41:$B$45,0)),""))</f>
        <v/>
      </c>
      <c r="K122" s="23"/>
    </row>
    <row r="123" ht="15.75" customHeight="1">
      <c r="A123" s="21">
        <v>119.0</v>
      </c>
      <c r="B123" s="23" t="s">
        <v>811</v>
      </c>
      <c r="C123" s="23" t="s">
        <v>163</v>
      </c>
      <c r="D123" s="23" t="s">
        <v>936</v>
      </c>
      <c r="E123" s="60" t="s">
        <v>56</v>
      </c>
      <c r="F123" s="29" t="s">
        <v>46</v>
      </c>
      <c r="G123" s="30" t="s">
        <v>47</v>
      </c>
      <c r="H123" s="35"/>
      <c r="I123" s="40"/>
      <c r="J123" s="40" t="str">
        <f t="array" ref="J123">IF($I123="","",IFERROR(INDEX(Legend!$C$41:$C$45,MATCH($I123,Legend!$B$41:$B$45,0)),""))</f>
        <v/>
      </c>
      <c r="K123" s="23"/>
    </row>
    <row r="124" ht="15.75" customHeight="1">
      <c r="A124" s="21">
        <v>120.0</v>
      </c>
      <c r="B124" s="23" t="s">
        <v>811</v>
      </c>
      <c r="C124" s="23" t="s">
        <v>163</v>
      </c>
      <c r="D124" s="23" t="s">
        <v>940</v>
      </c>
      <c r="E124" s="26" t="s">
        <v>43</v>
      </c>
      <c r="F124" s="32" t="s">
        <v>34</v>
      </c>
      <c r="G124" s="33" t="s">
        <v>50</v>
      </c>
      <c r="H124" s="35"/>
      <c r="I124" s="40"/>
      <c r="J124" s="40" t="str">
        <f t="array" ref="J124">IF($I124="","",IFERROR(INDEX(Legend!$C$41:$C$45,MATCH($I124,Legend!$B$41:$B$45,0)),""))</f>
        <v/>
      </c>
      <c r="K124" s="23"/>
    </row>
    <row r="125" ht="15.75" customHeight="1">
      <c r="A125" s="21">
        <v>121.0</v>
      </c>
      <c r="B125" s="23" t="s">
        <v>811</v>
      </c>
      <c r="C125" s="23" t="s">
        <v>163</v>
      </c>
      <c r="D125" s="23" t="s">
        <v>886</v>
      </c>
      <c r="E125" s="60" t="s">
        <v>56</v>
      </c>
      <c r="F125" s="29" t="s">
        <v>46</v>
      </c>
      <c r="G125" s="30" t="s">
        <v>47</v>
      </c>
      <c r="H125" s="35"/>
      <c r="I125" s="40"/>
      <c r="J125" s="40" t="str">
        <f t="array" ref="J125">IF($I125="","",IFERROR(INDEX(Legend!$C$41:$C$45,MATCH($I125,Legend!$B$41:$B$45,0)),""))</f>
        <v/>
      </c>
      <c r="K125" s="23"/>
    </row>
    <row r="126" ht="15.75" customHeight="1">
      <c r="A126" s="21">
        <v>122.0</v>
      </c>
      <c r="B126" s="23" t="s">
        <v>811</v>
      </c>
      <c r="C126" s="23" t="s">
        <v>163</v>
      </c>
      <c r="D126" s="23" t="s">
        <v>948</v>
      </c>
      <c r="E126" s="26" t="s">
        <v>43</v>
      </c>
      <c r="F126" s="32" t="s">
        <v>34</v>
      </c>
      <c r="G126" s="33" t="s">
        <v>50</v>
      </c>
      <c r="H126" s="35"/>
      <c r="I126" s="40"/>
      <c r="J126" s="40" t="str">
        <f t="array" ref="J126">IF($I126="","",IFERROR(INDEX(Legend!$C$41:$C$45,MATCH($I126,Legend!$B$41:$B$45,0)),""))</f>
        <v/>
      </c>
      <c r="K126" s="23"/>
    </row>
    <row r="127" ht="15.75" customHeight="1">
      <c r="A127" s="21">
        <v>123.0</v>
      </c>
      <c r="B127" s="23" t="s">
        <v>811</v>
      </c>
      <c r="C127" s="23" t="s">
        <v>163</v>
      </c>
      <c r="D127" s="23" t="s">
        <v>952</v>
      </c>
      <c r="E127" s="26" t="s">
        <v>43</v>
      </c>
      <c r="F127" s="32" t="s">
        <v>34</v>
      </c>
      <c r="G127" s="33" t="s">
        <v>50</v>
      </c>
      <c r="H127" s="35"/>
      <c r="I127" s="40"/>
      <c r="J127" s="40" t="str">
        <f t="array" ref="J127">IF($I127="","",IFERROR(INDEX(Legend!$C$41:$C$45,MATCH($I127,Legend!$B$41:$B$45,0)),""))</f>
        <v/>
      </c>
      <c r="K127" s="23"/>
    </row>
    <row r="128" ht="15.75" customHeight="1">
      <c r="A128" s="21">
        <v>124.0</v>
      </c>
      <c r="B128" s="23" t="s">
        <v>811</v>
      </c>
      <c r="C128" s="23" t="s">
        <v>163</v>
      </c>
      <c r="D128" s="23" t="s">
        <v>957</v>
      </c>
      <c r="E128" s="60" t="s">
        <v>56</v>
      </c>
      <c r="F128" s="29" t="s">
        <v>46</v>
      </c>
      <c r="G128" s="30" t="s">
        <v>47</v>
      </c>
      <c r="H128" s="35"/>
      <c r="I128" s="40"/>
      <c r="J128" s="40" t="str">
        <f t="array" ref="J128">IF($I128="","",IFERROR(INDEX(Legend!$C$41:$C$45,MATCH($I128,Legend!$B$41:$B$45,0)),""))</f>
        <v/>
      </c>
      <c r="K128" s="23"/>
    </row>
    <row r="129" ht="15.75" customHeight="1">
      <c r="A129" s="21">
        <v>125.0</v>
      </c>
      <c r="B129" s="23" t="s">
        <v>811</v>
      </c>
      <c r="C129" s="23" t="s">
        <v>163</v>
      </c>
      <c r="D129" s="23" t="s">
        <v>960</v>
      </c>
      <c r="E129" s="60" t="s">
        <v>56</v>
      </c>
      <c r="F129" s="29" t="s">
        <v>46</v>
      </c>
      <c r="G129" s="30" t="s">
        <v>47</v>
      </c>
      <c r="H129" s="35"/>
      <c r="I129" s="40"/>
      <c r="J129" s="40" t="str">
        <f t="array" ref="J129">IF($I129="","",IFERROR(INDEX(Legend!$C$41:$C$45,MATCH($I129,Legend!$B$41:$B$45,0)),""))</f>
        <v/>
      </c>
      <c r="K129" s="23"/>
    </row>
    <row r="130" ht="15.75" customHeight="1">
      <c r="A130" s="21">
        <v>126.0</v>
      </c>
      <c r="B130" s="23" t="s">
        <v>811</v>
      </c>
      <c r="C130" s="23" t="s">
        <v>163</v>
      </c>
      <c r="D130" s="23" t="s">
        <v>964</v>
      </c>
      <c r="E130" s="60" t="s">
        <v>56</v>
      </c>
      <c r="F130" s="29" t="s">
        <v>46</v>
      </c>
      <c r="G130" s="30" t="s">
        <v>47</v>
      </c>
      <c r="H130" s="35"/>
      <c r="I130" s="40"/>
      <c r="J130" s="40" t="str">
        <f t="array" ref="J130">IF($I130="","",IFERROR(INDEX(Legend!$C$41:$C$45,MATCH($I130,Legend!$B$41:$B$45,0)),""))</f>
        <v/>
      </c>
      <c r="K130" s="23"/>
    </row>
    <row r="131" ht="15.75" customHeight="1">
      <c r="A131" s="21">
        <v>127.0</v>
      </c>
      <c r="B131" s="23" t="s">
        <v>811</v>
      </c>
      <c r="C131" s="23" t="s">
        <v>163</v>
      </c>
      <c r="D131" s="23" t="s">
        <v>968</v>
      </c>
      <c r="E131" s="26" t="s">
        <v>43</v>
      </c>
      <c r="F131" s="29" t="s">
        <v>46</v>
      </c>
      <c r="G131" s="30" t="s">
        <v>47</v>
      </c>
      <c r="H131" s="35"/>
      <c r="I131" s="40"/>
      <c r="J131" s="40" t="str">
        <f t="array" ref="J131">IF($I131="","",IFERROR(INDEX(Legend!$C$41:$C$45,MATCH($I131,Legend!$B$41:$B$45,0)),""))</f>
        <v/>
      </c>
      <c r="K131" s="23"/>
    </row>
    <row r="132" ht="15.75" customHeight="1">
      <c r="A132" s="21">
        <v>128.0</v>
      </c>
      <c r="B132" s="23" t="s">
        <v>811</v>
      </c>
      <c r="C132" s="23" t="s">
        <v>163</v>
      </c>
      <c r="D132" s="23" t="s">
        <v>975</v>
      </c>
      <c r="E132" s="60" t="s">
        <v>56</v>
      </c>
      <c r="F132" s="29" t="s">
        <v>46</v>
      </c>
      <c r="G132" s="30" t="s">
        <v>47</v>
      </c>
      <c r="H132" s="35"/>
      <c r="I132" s="40"/>
      <c r="J132" s="40" t="str">
        <f t="array" ref="J132">IF($I132="","",IFERROR(INDEX(Legend!$C$41:$C$45,MATCH($I132,Legend!$B$41:$B$45,0)),""))</f>
        <v/>
      </c>
      <c r="K132" s="23"/>
    </row>
    <row r="133" ht="15.75" customHeight="1">
      <c r="A133" s="21">
        <v>129.0</v>
      </c>
      <c r="B133" s="23" t="s">
        <v>811</v>
      </c>
      <c r="C133" s="23" t="s">
        <v>163</v>
      </c>
      <c r="D133" s="23" t="s">
        <v>980</v>
      </c>
      <c r="E133" s="26" t="s">
        <v>43</v>
      </c>
      <c r="F133" s="29" t="s">
        <v>46</v>
      </c>
      <c r="G133" s="30" t="s">
        <v>47</v>
      </c>
      <c r="H133" s="35"/>
      <c r="I133" s="40"/>
      <c r="J133" s="40" t="str">
        <f t="array" ref="J133">IF($I133="","",IFERROR(INDEX(Legend!$C$41:$C$45,MATCH($I133,Legend!$B$41:$B$45,0)),""))</f>
        <v/>
      </c>
      <c r="K133" s="23"/>
    </row>
    <row r="134" ht="15.75" customHeight="1">
      <c r="A134" s="21">
        <v>130.0</v>
      </c>
      <c r="B134" s="23" t="s">
        <v>811</v>
      </c>
      <c r="C134" s="23" t="s">
        <v>163</v>
      </c>
      <c r="D134" s="23" t="s">
        <v>985</v>
      </c>
      <c r="E134" s="60" t="s">
        <v>56</v>
      </c>
      <c r="F134" s="29" t="s">
        <v>46</v>
      </c>
      <c r="G134" s="30" t="s">
        <v>47</v>
      </c>
      <c r="H134" s="35"/>
      <c r="I134" s="40"/>
      <c r="J134" s="40" t="str">
        <f t="array" ref="J134">IF($I134="","",IFERROR(INDEX(Legend!$C$41:$C$45,MATCH($I134,Legend!$B$41:$B$45,0)),""))</f>
        <v/>
      </c>
      <c r="K134" s="23"/>
    </row>
    <row r="135" ht="15.75" customHeight="1">
      <c r="A135" s="21">
        <v>131.0</v>
      </c>
      <c r="B135" s="23" t="s">
        <v>811</v>
      </c>
      <c r="C135" s="23" t="s">
        <v>163</v>
      </c>
      <c r="D135" s="23" t="s">
        <v>990</v>
      </c>
      <c r="E135" s="26" t="s">
        <v>43</v>
      </c>
      <c r="F135" s="29" t="s">
        <v>46</v>
      </c>
      <c r="G135" s="30" t="s">
        <v>47</v>
      </c>
      <c r="H135" s="35"/>
      <c r="I135" s="40"/>
      <c r="J135" s="40" t="str">
        <f t="array" ref="J135">IF($I135="","",IFERROR(INDEX(Legend!$C$41:$C$45,MATCH($I135,Legend!$B$41:$B$45,0)),""))</f>
        <v/>
      </c>
      <c r="K135" s="23"/>
    </row>
    <row r="136" ht="15.75" customHeight="1">
      <c r="A136" s="21">
        <v>132.0</v>
      </c>
      <c r="B136" s="23" t="s">
        <v>811</v>
      </c>
      <c r="C136" s="23" t="s">
        <v>163</v>
      </c>
      <c r="D136" s="23" t="s">
        <v>993</v>
      </c>
      <c r="E136" s="26" t="s">
        <v>43</v>
      </c>
      <c r="F136" s="32" t="s">
        <v>34</v>
      </c>
      <c r="G136" s="33" t="s">
        <v>50</v>
      </c>
      <c r="H136" s="35"/>
      <c r="I136" s="40"/>
      <c r="J136" s="40" t="str">
        <f t="array" ref="J136">IF($I136="","",IFERROR(INDEX(Legend!$C$41:$C$45,MATCH($I136,Legend!$B$41:$B$45,0)),""))</f>
        <v/>
      </c>
      <c r="K136" s="23"/>
    </row>
    <row r="137" ht="15.75" customHeight="1">
      <c r="A137" s="21">
        <v>133.0</v>
      </c>
      <c r="B137" s="23" t="s">
        <v>811</v>
      </c>
      <c r="C137" s="23" t="s">
        <v>163</v>
      </c>
      <c r="D137" s="23" t="s">
        <v>995</v>
      </c>
      <c r="E137" s="26" t="s">
        <v>43</v>
      </c>
      <c r="F137" s="32" t="s">
        <v>34</v>
      </c>
      <c r="G137" s="33" t="s">
        <v>50</v>
      </c>
      <c r="H137" s="35"/>
      <c r="I137" s="40"/>
      <c r="J137" s="40" t="str">
        <f t="array" ref="J137">IF($I137="","",IFERROR(INDEX(Legend!$C$41:$C$45,MATCH($I137,Legend!$B$41:$B$45,0)),""))</f>
        <v/>
      </c>
      <c r="K137" s="23"/>
    </row>
    <row r="138" ht="15.75" customHeight="1">
      <c r="A138" s="21">
        <v>134.0</v>
      </c>
      <c r="B138" s="23" t="s">
        <v>1000</v>
      </c>
      <c r="C138" s="23" t="s">
        <v>1001</v>
      </c>
      <c r="D138" s="23" t="s">
        <v>1002</v>
      </c>
      <c r="E138" s="26" t="s">
        <v>43</v>
      </c>
      <c r="F138" s="26" t="s">
        <v>77</v>
      </c>
      <c r="G138" s="33" t="s">
        <v>50</v>
      </c>
      <c r="H138" s="35" t="s">
        <v>1003</v>
      </c>
      <c r="I138" s="40"/>
      <c r="J138" s="40" t="str">
        <f t="array" ref="J138">IF($I138="","",IFERROR(INDEX(Legend!$C$41:$C$45,MATCH($I138,Legend!$B$41:$B$45,0)),""))</f>
        <v/>
      </c>
      <c r="K138" s="23"/>
    </row>
    <row r="139" ht="15.75" customHeight="1">
      <c r="A139" s="21">
        <v>135.0</v>
      </c>
      <c r="B139" s="23" t="s">
        <v>1000</v>
      </c>
      <c r="C139" s="23" t="s">
        <v>1001</v>
      </c>
      <c r="D139" s="23" t="s">
        <v>1007</v>
      </c>
      <c r="E139" s="26" t="s">
        <v>43</v>
      </c>
      <c r="F139" s="26" t="s">
        <v>77</v>
      </c>
      <c r="G139" s="33" t="s">
        <v>50</v>
      </c>
      <c r="H139" s="35" t="s">
        <v>1008</v>
      </c>
      <c r="I139" s="40"/>
      <c r="J139" s="40" t="str">
        <f t="array" ref="J139">IF($I139="","",IFERROR(INDEX(Legend!$C$41:$C$45,MATCH($I139,Legend!$B$41:$B$45,0)),""))</f>
        <v/>
      </c>
      <c r="K139" s="23"/>
    </row>
    <row r="140" ht="15.75" customHeight="1">
      <c r="A140" s="21">
        <v>136.0</v>
      </c>
      <c r="B140" s="23" t="s">
        <v>1000</v>
      </c>
      <c r="C140" s="23" t="s">
        <v>1001</v>
      </c>
      <c r="D140" s="23" t="s">
        <v>1014</v>
      </c>
      <c r="E140" s="26" t="s">
        <v>43</v>
      </c>
      <c r="F140" s="26" t="s">
        <v>77</v>
      </c>
      <c r="G140" s="33" t="s">
        <v>50</v>
      </c>
      <c r="H140" s="35" t="s">
        <v>1015</v>
      </c>
      <c r="I140" s="40"/>
      <c r="J140" s="40" t="str">
        <f t="array" ref="J140">IF($I140="","",IFERROR(INDEX(Legend!$C$41:$C$45,MATCH($I140,Legend!$B$41:$B$45,0)),""))</f>
        <v/>
      </c>
      <c r="K140" s="23"/>
    </row>
    <row r="141" ht="15.75" customHeight="1">
      <c r="A141" s="21">
        <v>137.0</v>
      </c>
      <c r="B141" s="23" t="s">
        <v>1000</v>
      </c>
      <c r="C141" s="23" t="s">
        <v>1001</v>
      </c>
      <c r="D141" s="23" t="s">
        <v>1020</v>
      </c>
      <c r="E141" s="26" t="s">
        <v>43</v>
      </c>
      <c r="F141" s="26" t="s">
        <v>77</v>
      </c>
      <c r="G141" s="33" t="s">
        <v>50</v>
      </c>
      <c r="H141" s="35" t="s">
        <v>1021</v>
      </c>
      <c r="I141" s="40"/>
      <c r="J141" s="40" t="str">
        <f t="array" ref="J141">IF($I141="","",IFERROR(INDEX(Legend!$C$41:$C$45,MATCH($I141,Legend!$B$41:$B$45,0)),""))</f>
        <v/>
      </c>
      <c r="K141" s="23"/>
    </row>
    <row r="142" ht="15.75" customHeight="1">
      <c r="A142" s="21">
        <v>138.0</v>
      </c>
      <c r="B142" s="23" t="s">
        <v>1000</v>
      </c>
      <c r="C142" s="23" t="s">
        <v>1001</v>
      </c>
      <c r="D142" s="23" t="s">
        <v>1025</v>
      </c>
      <c r="E142" s="26" t="s">
        <v>43</v>
      </c>
      <c r="F142" s="26" t="s">
        <v>77</v>
      </c>
      <c r="G142" s="30" t="s">
        <v>47</v>
      </c>
      <c r="H142" s="35" t="s">
        <v>1026</v>
      </c>
      <c r="I142" s="40"/>
      <c r="J142" s="40" t="str">
        <f t="array" ref="J142">IF($I142="","",IFERROR(INDEX(Legend!$C$41:$C$45,MATCH($I142,Legend!$B$41:$B$45,0)),""))</f>
        <v/>
      </c>
      <c r="K142" s="23"/>
    </row>
    <row r="143" ht="15.75" customHeight="1">
      <c r="A143" s="21">
        <v>139.0</v>
      </c>
      <c r="B143" s="23" t="s">
        <v>1000</v>
      </c>
      <c r="C143" s="23" t="s">
        <v>1001</v>
      </c>
      <c r="D143" s="23" t="s">
        <v>1029</v>
      </c>
      <c r="E143" s="26" t="s">
        <v>43</v>
      </c>
      <c r="F143" s="26" t="s">
        <v>77</v>
      </c>
      <c r="G143" s="33" t="s">
        <v>50</v>
      </c>
      <c r="H143" s="35" t="s">
        <v>1030</v>
      </c>
      <c r="I143" s="40"/>
      <c r="J143" s="40" t="str">
        <f t="array" ref="J143">IF($I143="","",IFERROR(INDEX(Legend!$C$41:$C$45,MATCH($I143,Legend!$B$41:$B$45,0)),""))</f>
        <v/>
      </c>
      <c r="K143" s="23"/>
    </row>
    <row r="144" ht="15.75" customHeight="1">
      <c r="A144" s="21">
        <v>140.0</v>
      </c>
      <c r="B144" s="23" t="s">
        <v>1000</v>
      </c>
      <c r="C144" s="23" t="s">
        <v>1001</v>
      </c>
      <c r="D144" s="23" t="s">
        <v>1034</v>
      </c>
      <c r="E144" s="26" t="s">
        <v>43</v>
      </c>
      <c r="F144" s="26" t="s">
        <v>77</v>
      </c>
      <c r="G144" s="33" t="s">
        <v>50</v>
      </c>
      <c r="H144" s="35" t="s">
        <v>1035</v>
      </c>
      <c r="I144" s="40"/>
      <c r="J144" s="40" t="str">
        <f t="array" ref="J144">IF($I144="","",IFERROR(INDEX(Legend!$C$41:$C$45,MATCH($I144,Legend!$B$41:$B$45,0)),""))</f>
        <v/>
      </c>
      <c r="K144" s="23"/>
    </row>
    <row r="145" ht="15.75" customHeight="1">
      <c r="A145" s="21">
        <v>141.0</v>
      </c>
      <c r="B145" s="23" t="s">
        <v>1000</v>
      </c>
      <c r="C145" s="23" t="s">
        <v>1001</v>
      </c>
      <c r="D145" s="23" t="s">
        <v>1037</v>
      </c>
      <c r="E145" s="26" t="s">
        <v>43</v>
      </c>
      <c r="F145" s="26" t="s">
        <v>77</v>
      </c>
      <c r="G145" s="30" t="s">
        <v>47</v>
      </c>
      <c r="H145" s="35" t="s">
        <v>1038</v>
      </c>
      <c r="I145" s="40"/>
      <c r="J145" s="40" t="str">
        <f t="array" ref="J145">IF($I145="","",IFERROR(INDEX(Legend!$C$41:$C$45,MATCH($I145,Legend!$B$41:$B$45,0)),""))</f>
        <v/>
      </c>
      <c r="K145" s="23"/>
    </row>
    <row r="146" ht="15.75" customHeight="1">
      <c r="A146" s="21">
        <v>142.0</v>
      </c>
      <c r="B146" s="23" t="s">
        <v>1000</v>
      </c>
      <c r="C146" s="23" t="s">
        <v>1001</v>
      </c>
      <c r="D146" s="23" t="s">
        <v>1044</v>
      </c>
      <c r="E146" s="26" t="s">
        <v>43</v>
      </c>
      <c r="F146" s="26" t="s">
        <v>77</v>
      </c>
      <c r="G146" s="30" t="s">
        <v>47</v>
      </c>
      <c r="H146" s="35" t="s">
        <v>1046</v>
      </c>
      <c r="I146" s="40"/>
      <c r="J146" s="40" t="str">
        <f t="array" ref="J146">IF($I146="","",IFERROR(INDEX(Legend!$C$41:$C$45,MATCH($I146,Legend!$B$41:$B$45,0)),""))</f>
        <v/>
      </c>
      <c r="K146" s="23"/>
    </row>
    <row r="147" ht="15.75" customHeight="1">
      <c r="A147" s="21">
        <v>143.0</v>
      </c>
      <c r="B147" s="23" t="s">
        <v>1000</v>
      </c>
      <c r="C147" s="23" t="s">
        <v>1001</v>
      </c>
      <c r="D147" s="23" t="s">
        <v>1051</v>
      </c>
      <c r="E147" s="26" t="s">
        <v>43</v>
      </c>
      <c r="F147" s="26" t="s">
        <v>77</v>
      </c>
      <c r="G147" s="33" t="s">
        <v>50</v>
      </c>
      <c r="H147" s="35" t="s">
        <v>1052</v>
      </c>
      <c r="I147" s="40"/>
      <c r="J147" s="40" t="str">
        <f t="array" ref="J147">IF($I147="","",IFERROR(INDEX(Legend!$C$41:$C$45,MATCH($I147,Legend!$B$41:$B$45,0)),""))</f>
        <v/>
      </c>
      <c r="K147" s="23"/>
    </row>
    <row r="148" ht="15.75" customHeight="1">
      <c r="A148" s="21">
        <v>144.0</v>
      </c>
      <c r="B148" s="23" t="s">
        <v>1000</v>
      </c>
      <c r="C148" s="23" t="s">
        <v>1001</v>
      </c>
      <c r="D148" s="23" t="s">
        <v>1056</v>
      </c>
      <c r="E148" s="26" t="s">
        <v>43</v>
      </c>
      <c r="F148" s="26" t="s">
        <v>77</v>
      </c>
      <c r="G148" s="30" t="s">
        <v>47</v>
      </c>
      <c r="H148" s="35" t="s">
        <v>1057</v>
      </c>
      <c r="I148" s="40"/>
      <c r="J148" s="40" t="str">
        <f t="array" ref="J148">IF($I148="","",IFERROR(INDEX(Legend!$C$41:$C$45,MATCH($I148,Legend!$B$41:$B$45,0)),""))</f>
        <v/>
      </c>
      <c r="K148" s="23"/>
    </row>
    <row r="149" ht="15.75" customHeight="1">
      <c r="A149" s="21">
        <v>145.0</v>
      </c>
      <c r="B149" s="23" t="s">
        <v>1000</v>
      </c>
      <c r="C149" s="23" t="s">
        <v>1001</v>
      </c>
      <c r="D149" s="23" t="s">
        <v>1062</v>
      </c>
      <c r="E149" s="26" t="s">
        <v>43</v>
      </c>
      <c r="F149" s="26" t="s">
        <v>77</v>
      </c>
      <c r="G149" s="33" t="s">
        <v>50</v>
      </c>
      <c r="H149" s="35" t="s">
        <v>1063</v>
      </c>
      <c r="I149" s="40"/>
      <c r="J149" s="40" t="str">
        <f t="array" ref="J149">IF($I149="","",IFERROR(INDEX(Legend!$C$41:$C$45,MATCH($I149,Legend!$B$41:$B$45,0)),""))</f>
        <v/>
      </c>
      <c r="K149" s="23"/>
    </row>
    <row r="150" ht="15.75" customHeight="1">
      <c r="A150" s="21">
        <v>146.0</v>
      </c>
      <c r="B150" s="23" t="s">
        <v>1000</v>
      </c>
      <c r="C150" s="23" t="s">
        <v>1001</v>
      </c>
      <c r="D150" s="23" t="s">
        <v>1067</v>
      </c>
      <c r="E150" s="26" t="s">
        <v>43</v>
      </c>
      <c r="F150" s="26" t="s">
        <v>77</v>
      </c>
      <c r="G150" s="30" t="s">
        <v>47</v>
      </c>
      <c r="H150" s="35" t="s">
        <v>1070</v>
      </c>
      <c r="I150" s="40"/>
      <c r="J150" s="40" t="str">
        <f t="array" ref="J150">IF($I150="","",IFERROR(INDEX(Legend!$C$41:$C$45,MATCH($I150,Legend!$B$41:$B$45,0)),""))</f>
        <v/>
      </c>
      <c r="K150" s="23"/>
    </row>
    <row r="151" ht="15.75" customHeight="1">
      <c r="A151" s="21">
        <v>147.0</v>
      </c>
      <c r="B151" s="23" t="s">
        <v>1000</v>
      </c>
      <c r="C151" s="23" t="s">
        <v>1001</v>
      </c>
      <c r="D151" s="23" t="s">
        <v>1072</v>
      </c>
      <c r="E151" s="26" t="s">
        <v>43</v>
      </c>
      <c r="F151" s="26" t="s">
        <v>77</v>
      </c>
      <c r="G151" s="33" t="s">
        <v>50</v>
      </c>
      <c r="H151" s="35" t="s">
        <v>1074</v>
      </c>
      <c r="I151" s="40"/>
      <c r="J151" s="40" t="str">
        <f t="array" ref="J151">IF($I151="","",IFERROR(INDEX(Legend!$C$41:$C$45,MATCH($I151,Legend!$B$41:$B$45,0)),""))</f>
        <v/>
      </c>
      <c r="K151" s="23"/>
    </row>
    <row r="152" ht="15.75" customHeight="1">
      <c r="A152" s="21">
        <v>148.0</v>
      </c>
      <c r="B152" s="23" t="s">
        <v>1000</v>
      </c>
      <c r="C152" s="23" t="s">
        <v>1001</v>
      </c>
      <c r="D152" s="23" t="s">
        <v>1079</v>
      </c>
      <c r="E152" s="26" t="s">
        <v>43</v>
      </c>
      <c r="F152" s="26" t="s">
        <v>77</v>
      </c>
      <c r="G152" s="33" t="s">
        <v>50</v>
      </c>
      <c r="H152" s="35" t="s">
        <v>1080</v>
      </c>
      <c r="I152" s="40"/>
      <c r="J152" s="40" t="str">
        <f t="array" ref="J152">IF($I152="","",IFERROR(INDEX(Legend!$C$41:$C$45,MATCH($I152,Legend!$B$41:$B$45,0)),""))</f>
        <v/>
      </c>
      <c r="K152" s="23"/>
    </row>
    <row r="153" ht="15.75" customHeight="1">
      <c r="A153" s="21">
        <v>149.0</v>
      </c>
      <c r="B153" s="23" t="s">
        <v>1000</v>
      </c>
      <c r="C153" s="23" t="s">
        <v>1001</v>
      </c>
      <c r="D153" s="23" t="s">
        <v>1084</v>
      </c>
      <c r="E153" s="26" t="s">
        <v>43</v>
      </c>
      <c r="F153" s="26" t="s">
        <v>77</v>
      </c>
      <c r="G153" s="33" t="s">
        <v>50</v>
      </c>
      <c r="H153" s="35" t="s">
        <v>1085</v>
      </c>
      <c r="I153" s="40"/>
      <c r="J153" s="40" t="str">
        <f t="array" ref="J153">IF($I153="","",IFERROR(INDEX(Legend!$C$41:$C$45,MATCH($I153,Legend!$B$41:$B$45,0)),""))</f>
        <v/>
      </c>
      <c r="K153" s="23"/>
    </row>
    <row r="154" ht="15.75" customHeight="1">
      <c r="A154" s="21">
        <v>150.0</v>
      </c>
      <c r="B154" s="23" t="s">
        <v>1000</v>
      </c>
      <c r="C154" s="23" t="s">
        <v>1001</v>
      </c>
      <c r="D154" s="23" t="s">
        <v>1089</v>
      </c>
      <c r="E154" s="60" t="s">
        <v>56</v>
      </c>
      <c r="F154" s="26" t="s">
        <v>77</v>
      </c>
      <c r="G154" s="30" t="s">
        <v>47</v>
      </c>
      <c r="H154" s="35" t="s">
        <v>1090</v>
      </c>
      <c r="I154" s="40"/>
      <c r="J154" s="40" t="str">
        <f t="array" ref="J154">IF($I154="","",IFERROR(INDEX(Legend!$C$41:$C$45,MATCH($I154,Legend!$B$41:$B$45,0)),""))</f>
        <v/>
      </c>
      <c r="K154" s="23"/>
    </row>
    <row r="155" ht="15.75" customHeight="1">
      <c r="A155" s="21">
        <v>151.0</v>
      </c>
      <c r="B155" s="23" t="s">
        <v>1000</v>
      </c>
      <c r="C155" s="23" t="s">
        <v>1001</v>
      </c>
      <c r="D155" s="23" t="s">
        <v>1094</v>
      </c>
      <c r="E155" s="60" t="s">
        <v>56</v>
      </c>
      <c r="F155" s="26" t="s">
        <v>77</v>
      </c>
      <c r="G155" s="30" t="s">
        <v>47</v>
      </c>
      <c r="H155" s="35" t="s">
        <v>1095</v>
      </c>
      <c r="I155" s="40"/>
      <c r="J155" s="40" t="str">
        <f t="array" ref="J155">IF($I155="","",IFERROR(INDEX(Legend!$C$41:$C$45,MATCH($I155,Legend!$B$41:$B$45,0)),""))</f>
        <v/>
      </c>
      <c r="K155" s="23"/>
    </row>
    <row r="156" ht="15.75" customHeight="1">
      <c r="A156" s="21">
        <v>152.0</v>
      </c>
      <c r="B156" s="23" t="s">
        <v>1000</v>
      </c>
      <c r="C156" s="23" t="s">
        <v>163</v>
      </c>
      <c r="D156" s="23" t="s">
        <v>1098</v>
      </c>
      <c r="E156" s="26" t="s">
        <v>43</v>
      </c>
      <c r="F156" s="26" t="s">
        <v>77</v>
      </c>
      <c r="G156" s="33" t="s">
        <v>50</v>
      </c>
      <c r="H156" s="35" t="s">
        <v>1099</v>
      </c>
      <c r="I156" s="40"/>
      <c r="J156" s="40" t="str">
        <f t="array" ref="J156">IF($I156="","",IFERROR(INDEX(Legend!$C$41:$C$45,MATCH($I156,Legend!$B$41:$B$45,0)),""))</f>
        <v/>
      </c>
      <c r="K156" s="23"/>
    </row>
    <row r="157" ht="15.75" customHeight="1">
      <c r="A157" s="21">
        <v>153.0</v>
      </c>
      <c r="B157" s="23" t="s">
        <v>1000</v>
      </c>
      <c r="C157" s="23" t="s">
        <v>163</v>
      </c>
      <c r="D157" s="23" t="s">
        <v>1103</v>
      </c>
      <c r="E157" s="26" t="s">
        <v>43</v>
      </c>
      <c r="F157" s="32" t="s">
        <v>34</v>
      </c>
      <c r="G157" s="33" t="s">
        <v>50</v>
      </c>
      <c r="H157" s="35"/>
      <c r="I157" s="40"/>
      <c r="J157" s="40" t="str">
        <f t="array" ref="J157">IF($I157="","",IFERROR(INDEX(Legend!$C$41:$C$45,MATCH($I157,Legend!$B$41:$B$45,0)),""))</f>
        <v/>
      </c>
      <c r="K157" s="23"/>
    </row>
    <row r="158" ht="15.75" customHeight="1">
      <c r="A158" s="21">
        <v>154.0</v>
      </c>
      <c r="B158" s="23" t="s">
        <v>1000</v>
      </c>
      <c r="C158" s="23" t="s">
        <v>163</v>
      </c>
      <c r="D158" s="23" t="s">
        <v>1106</v>
      </c>
      <c r="E158" s="26" t="s">
        <v>43</v>
      </c>
      <c r="F158" s="32" t="s">
        <v>34</v>
      </c>
      <c r="G158" s="33" t="s">
        <v>50</v>
      </c>
      <c r="H158" s="35" t="s">
        <v>1107</v>
      </c>
      <c r="I158" s="40"/>
      <c r="J158" s="40" t="str">
        <f t="array" ref="J158">IF($I158="","",IFERROR(INDEX(Legend!$C$41:$C$45,MATCH($I158,Legend!$B$41:$B$45,0)),""))</f>
        <v/>
      </c>
      <c r="K158" s="23"/>
    </row>
    <row r="159" ht="15.75" customHeight="1">
      <c r="A159" s="21">
        <v>155.0</v>
      </c>
      <c r="B159" s="23" t="s">
        <v>1000</v>
      </c>
      <c r="C159" s="23" t="s">
        <v>163</v>
      </c>
      <c r="D159" s="23" t="s">
        <v>1111</v>
      </c>
      <c r="E159" s="26" t="s">
        <v>43</v>
      </c>
      <c r="F159" s="32" t="s">
        <v>34</v>
      </c>
      <c r="G159" s="33" t="s">
        <v>50</v>
      </c>
      <c r="H159" s="35"/>
      <c r="I159" s="40"/>
      <c r="J159" s="40" t="str">
        <f t="array" ref="J159">IF($I159="","",IFERROR(INDEX(Legend!$C$41:$C$45,MATCH($I159,Legend!$B$41:$B$45,0)),""))</f>
        <v/>
      </c>
      <c r="K159" s="23"/>
    </row>
    <row r="160" ht="15.75" customHeight="1">
      <c r="A160" s="21">
        <v>156.0</v>
      </c>
      <c r="B160" s="23" t="s">
        <v>1000</v>
      </c>
      <c r="C160" s="23" t="s">
        <v>163</v>
      </c>
      <c r="D160" s="23" t="s">
        <v>1116</v>
      </c>
      <c r="E160" s="26" t="s">
        <v>43</v>
      </c>
      <c r="F160" s="29" t="s">
        <v>46</v>
      </c>
      <c r="G160" s="30" t="s">
        <v>47</v>
      </c>
      <c r="H160" s="35"/>
      <c r="I160" s="40"/>
      <c r="J160" s="40" t="str">
        <f t="array" ref="J160">IF($I160="","",IFERROR(INDEX(Legend!$C$41:$C$45,MATCH($I160,Legend!$B$41:$B$45,0)),""))</f>
        <v/>
      </c>
      <c r="K160" s="23"/>
    </row>
    <row r="161" ht="15.75" customHeight="1">
      <c r="A161" s="21">
        <v>157.0</v>
      </c>
      <c r="B161" s="23" t="s">
        <v>1000</v>
      </c>
      <c r="C161" s="23" t="s">
        <v>163</v>
      </c>
      <c r="D161" s="23" t="s">
        <v>1120</v>
      </c>
      <c r="E161" s="26" t="s">
        <v>43</v>
      </c>
      <c r="F161" s="29" t="s">
        <v>46</v>
      </c>
      <c r="G161" s="30" t="s">
        <v>47</v>
      </c>
      <c r="H161" s="35"/>
      <c r="I161" s="40"/>
      <c r="J161" s="40" t="str">
        <f t="array" ref="J161">IF($I161="","",IFERROR(INDEX(Legend!$C$41:$C$45,MATCH($I161,Legend!$B$41:$B$45,0)),""))</f>
        <v/>
      </c>
      <c r="K161" s="23"/>
    </row>
    <row r="162" ht="15.75" customHeight="1">
      <c r="A162" s="21">
        <v>158.0</v>
      </c>
      <c r="B162" s="23" t="s">
        <v>1000</v>
      </c>
      <c r="C162" s="23" t="s">
        <v>163</v>
      </c>
      <c r="D162" s="23" t="s">
        <v>1123</v>
      </c>
      <c r="E162" s="26" t="s">
        <v>43</v>
      </c>
      <c r="F162" s="32" t="s">
        <v>34</v>
      </c>
      <c r="G162" s="33" t="s">
        <v>50</v>
      </c>
      <c r="H162" s="35"/>
      <c r="I162" s="40"/>
      <c r="J162" s="40" t="str">
        <f t="array" ref="J162">IF($I162="","",IFERROR(INDEX(Legend!$C$41:$C$45,MATCH($I162,Legend!$B$41:$B$45,0)),""))</f>
        <v/>
      </c>
      <c r="K162" s="23"/>
    </row>
    <row r="163" ht="15.75" customHeight="1">
      <c r="A163" s="21">
        <v>159.0</v>
      </c>
      <c r="B163" s="23" t="s">
        <v>1000</v>
      </c>
      <c r="C163" s="23" t="s">
        <v>163</v>
      </c>
      <c r="D163" s="23" t="s">
        <v>1127</v>
      </c>
      <c r="E163" s="26" t="s">
        <v>43</v>
      </c>
      <c r="F163" s="32" t="s">
        <v>34</v>
      </c>
      <c r="G163" s="62" t="s">
        <v>49</v>
      </c>
      <c r="H163" s="35" t="s">
        <v>1128</v>
      </c>
      <c r="I163" s="40"/>
      <c r="J163" s="40" t="str">
        <f t="array" ref="J163">IF($I163="","",IFERROR(INDEX(Legend!$C$41:$C$45,MATCH($I163,Legend!$B$41:$B$45,0)),""))</f>
        <v/>
      </c>
      <c r="K163" s="23"/>
    </row>
    <row r="164" ht="15.75" customHeight="1">
      <c r="A164" s="21">
        <v>160.0</v>
      </c>
      <c r="B164" s="23" t="s">
        <v>1000</v>
      </c>
      <c r="C164" s="23" t="s">
        <v>163</v>
      </c>
      <c r="D164" s="23" t="s">
        <v>1131</v>
      </c>
      <c r="E164" s="26" t="s">
        <v>43</v>
      </c>
      <c r="F164" s="32" t="s">
        <v>34</v>
      </c>
      <c r="G164" s="33" t="s">
        <v>50</v>
      </c>
      <c r="H164" s="35"/>
      <c r="I164" s="40"/>
      <c r="J164" s="40" t="str">
        <f t="array" ref="J164">IF($I164="","",IFERROR(INDEX(Legend!$C$41:$C$45,MATCH($I164,Legend!$B$41:$B$45,0)),""))</f>
        <v/>
      </c>
      <c r="K164" s="23"/>
    </row>
    <row r="165" ht="15.75" customHeight="1">
      <c r="A165" s="21">
        <v>161.0</v>
      </c>
      <c r="B165" s="23" t="s">
        <v>1000</v>
      </c>
      <c r="C165" s="23" t="s">
        <v>163</v>
      </c>
      <c r="D165" s="23" t="s">
        <v>1135</v>
      </c>
      <c r="E165" s="26" t="s">
        <v>43</v>
      </c>
      <c r="F165" s="32" t="s">
        <v>34</v>
      </c>
      <c r="G165" s="33" t="s">
        <v>50</v>
      </c>
      <c r="H165" s="35"/>
      <c r="I165" s="40"/>
      <c r="J165" s="40" t="str">
        <f t="array" ref="J165">IF($I165="","",IFERROR(INDEX(Legend!$C$41:$C$45,MATCH($I165,Legend!$B$41:$B$45,0)),""))</f>
        <v/>
      </c>
      <c r="K165" s="23"/>
    </row>
    <row r="166" ht="15.75" customHeight="1">
      <c r="A166" s="21">
        <v>162.0</v>
      </c>
      <c r="B166" s="23" t="s">
        <v>1000</v>
      </c>
      <c r="C166" s="23" t="s">
        <v>163</v>
      </c>
      <c r="D166" s="23" t="s">
        <v>1139</v>
      </c>
      <c r="E166" s="26" t="s">
        <v>43</v>
      </c>
      <c r="F166" s="29" t="s">
        <v>46</v>
      </c>
      <c r="G166" s="30" t="s">
        <v>47</v>
      </c>
      <c r="H166" s="35"/>
      <c r="I166" s="40"/>
      <c r="J166" s="40" t="str">
        <f t="array" ref="J166">IF($I166="","",IFERROR(INDEX(Legend!$C$41:$C$45,MATCH($I166,Legend!$B$41:$B$45,0)),""))</f>
        <v/>
      </c>
      <c r="K166" s="23"/>
    </row>
    <row r="167" ht="15.75" customHeight="1">
      <c r="A167" s="21">
        <v>163.0</v>
      </c>
      <c r="B167" s="23" t="s">
        <v>1000</v>
      </c>
      <c r="C167" s="23" t="s">
        <v>163</v>
      </c>
      <c r="D167" s="23" t="s">
        <v>1142</v>
      </c>
      <c r="E167" s="26" t="s">
        <v>43</v>
      </c>
      <c r="F167" s="32" t="s">
        <v>34</v>
      </c>
      <c r="G167" s="33" t="s">
        <v>50</v>
      </c>
      <c r="H167" s="35"/>
      <c r="I167" s="40"/>
      <c r="J167" s="40" t="str">
        <f t="array" ref="J167">IF($I167="","",IFERROR(INDEX(Legend!$C$41:$C$45,MATCH($I167,Legend!$B$41:$B$45,0)),""))</f>
        <v/>
      </c>
      <c r="K167" s="23"/>
    </row>
    <row r="168" ht="15.75" customHeight="1">
      <c r="A168" s="21">
        <v>164.0</v>
      </c>
      <c r="B168" s="23" t="s">
        <v>1000</v>
      </c>
      <c r="C168" s="23" t="s">
        <v>163</v>
      </c>
      <c r="D168" s="23" t="s">
        <v>1146</v>
      </c>
      <c r="E168" s="26" t="s">
        <v>43</v>
      </c>
      <c r="F168" s="32" t="s">
        <v>34</v>
      </c>
      <c r="G168" s="33" t="s">
        <v>50</v>
      </c>
      <c r="H168" s="35" t="s">
        <v>1147</v>
      </c>
      <c r="I168" s="40"/>
      <c r="J168" s="40" t="str">
        <f t="array" ref="J168">IF($I168="","",IFERROR(INDEX(Legend!$C$41:$C$45,MATCH($I168,Legend!$B$41:$B$45,0)),""))</f>
        <v/>
      </c>
      <c r="K168" s="23"/>
    </row>
    <row r="169" ht="15.75" customHeight="1">
      <c r="A169" s="21">
        <v>165.0</v>
      </c>
      <c r="B169" s="23" t="s">
        <v>1000</v>
      </c>
      <c r="C169" s="23" t="s">
        <v>163</v>
      </c>
      <c r="D169" s="23" t="s">
        <v>1150</v>
      </c>
      <c r="E169" s="26" t="s">
        <v>43</v>
      </c>
      <c r="F169" s="32" t="s">
        <v>34</v>
      </c>
      <c r="G169" s="33" t="s">
        <v>50</v>
      </c>
      <c r="H169" s="35"/>
      <c r="I169" s="40"/>
      <c r="J169" s="40" t="str">
        <f t="array" ref="J169">IF($I169="","",IFERROR(INDEX(Legend!$C$41:$C$45,MATCH($I169,Legend!$B$41:$B$45,0)),""))</f>
        <v/>
      </c>
      <c r="K169" s="23"/>
    </row>
    <row r="170" ht="15.75" customHeight="1">
      <c r="A170" s="21">
        <v>166.0</v>
      </c>
      <c r="B170" s="23" t="s">
        <v>1000</v>
      </c>
      <c r="C170" s="23" t="s">
        <v>163</v>
      </c>
      <c r="D170" s="23" t="s">
        <v>1152</v>
      </c>
      <c r="E170" s="26" t="s">
        <v>43</v>
      </c>
      <c r="F170" s="32" t="s">
        <v>34</v>
      </c>
      <c r="G170" s="33" t="s">
        <v>50</v>
      </c>
      <c r="H170" s="35"/>
      <c r="I170" s="40"/>
      <c r="J170" s="40" t="str">
        <f t="array" ref="J170">IF($I170="","",IFERROR(INDEX(Legend!$C$41:$C$45,MATCH($I170,Legend!$B$41:$B$45,0)),""))</f>
        <v/>
      </c>
      <c r="K170" s="23"/>
    </row>
    <row r="171" ht="15.75" customHeight="1">
      <c r="A171" s="21">
        <v>167.0</v>
      </c>
      <c r="B171" s="23" t="s">
        <v>1000</v>
      </c>
      <c r="C171" s="23" t="s">
        <v>163</v>
      </c>
      <c r="D171" s="23" t="s">
        <v>1154</v>
      </c>
      <c r="E171" s="26" t="s">
        <v>43</v>
      </c>
      <c r="F171" s="32" t="s">
        <v>34</v>
      </c>
      <c r="G171" s="33" t="s">
        <v>50</v>
      </c>
      <c r="H171" s="35"/>
      <c r="I171" s="40"/>
      <c r="J171" s="40" t="str">
        <f t="array" ref="J171">IF($I171="","",IFERROR(INDEX(Legend!$C$41:$C$45,MATCH($I171,Legend!$B$41:$B$45,0)),""))</f>
        <v/>
      </c>
      <c r="K171" s="23"/>
    </row>
    <row r="172" ht="15.75" customHeight="1">
      <c r="A172" s="21">
        <v>168.0</v>
      </c>
      <c r="B172" s="23" t="s">
        <v>1000</v>
      </c>
      <c r="C172" s="23" t="s">
        <v>163</v>
      </c>
      <c r="D172" s="23" t="s">
        <v>1159</v>
      </c>
      <c r="E172" s="26" t="s">
        <v>43</v>
      </c>
      <c r="F172" s="32" t="s">
        <v>34</v>
      </c>
      <c r="G172" s="33" t="s">
        <v>50</v>
      </c>
      <c r="H172" s="35" t="s">
        <v>1160</v>
      </c>
      <c r="I172" s="40"/>
      <c r="J172" s="40" t="str">
        <f t="array" ref="J172">IF($I172="","",IFERROR(INDEX(Legend!$C$41:$C$45,MATCH($I172,Legend!$B$41:$B$45,0)),""))</f>
        <v/>
      </c>
      <c r="K172" s="23"/>
    </row>
    <row r="173" ht="15.75" customHeight="1">
      <c r="A173" s="21">
        <v>169.0</v>
      </c>
      <c r="B173" s="23" t="s">
        <v>1000</v>
      </c>
      <c r="C173" s="23" t="s">
        <v>163</v>
      </c>
      <c r="D173" s="23" t="s">
        <v>1162</v>
      </c>
      <c r="E173" s="26" t="s">
        <v>43</v>
      </c>
      <c r="F173" s="32" t="s">
        <v>34</v>
      </c>
      <c r="G173" s="33" t="s">
        <v>50</v>
      </c>
      <c r="H173" s="35"/>
      <c r="I173" s="40"/>
      <c r="J173" s="40" t="str">
        <f t="array" ref="J173">IF($I173="","",IFERROR(INDEX(Legend!$C$41:$C$45,MATCH($I173,Legend!$B$41:$B$45,0)),""))</f>
        <v/>
      </c>
      <c r="K173" s="23"/>
    </row>
    <row r="174" ht="15.75" customHeight="1">
      <c r="A174" s="21">
        <v>170.0</v>
      </c>
      <c r="B174" s="23" t="s">
        <v>1000</v>
      </c>
      <c r="C174" s="23" t="s">
        <v>163</v>
      </c>
      <c r="D174" s="23" t="s">
        <v>1164</v>
      </c>
      <c r="E174" s="26" t="s">
        <v>43</v>
      </c>
      <c r="F174" s="32" t="s">
        <v>34</v>
      </c>
      <c r="G174" s="33" t="s">
        <v>50</v>
      </c>
      <c r="H174" s="35"/>
      <c r="I174" s="40"/>
      <c r="J174" s="40" t="str">
        <f t="array" ref="J174">IF($I174="","",IFERROR(INDEX(Legend!$C$41:$C$45,MATCH($I174,Legend!$B$41:$B$45,0)),""))</f>
        <v/>
      </c>
      <c r="K174" s="23"/>
    </row>
    <row r="175" ht="15.75" customHeight="1">
      <c r="A175" s="21">
        <v>171.0</v>
      </c>
      <c r="B175" s="23" t="s">
        <v>1000</v>
      </c>
      <c r="C175" s="23" t="s">
        <v>163</v>
      </c>
      <c r="D175" s="23" t="s">
        <v>1167</v>
      </c>
      <c r="E175" s="26" t="s">
        <v>43</v>
      </c>
      <c r="F175" s="29" t="s">
        <v>46</v>
      </c>
      <c r="G175" s="30" t="s">
        <v>47</v>
      </c>
      <c r="H175" s="35"/>
      <c r="I175" s="40"/>
      <c r="J175" s="40" t="str">
        <f t="array" ref="J175">IF($I175="","",IFERROR(INDEX(Legend!$C$41:$C$45,MATCH($I175,Legend!$B$41:$B$45,0)),""))</f>
        <v/>
      </c>
      <c r="K175" s="23"/>
    </row>
    <row r="176" ht="15.75" customHeight="1">
      <c r="A176" s="21">
        <v>172.0</v>
      </c>
      <c r="B176" s="23" t="s">
        <v>1000</v>
      </c>
      <c r="C176" s="23" t="s">
        <v>163</v>
      </c>
      <c r="D176" s="23" t="s">
        <v>1170</v>
      </c>
      <c r="E176" s="26" t="s">
        <v>43</v>
      </c>
      <c r="F176" s="32" t="s">
        <v>34</v>
      </c>
      <c r="G176" s="33" t="s">
        <v>50</v>
      </c>
      <c r="H176" s="35" t="s">
        <v>1171</v>
      </c>
      <c r="I176" s="40"/>
      <c r="J176" s="40" t="str">
        <f t="array" ref="J176">IF($I176="","",IFERROR(INDEX(Legend!$C$41:$C$45,MATCH($I176,Legend!$B$41:$B$45,0)),""))</f>
        <v/>
      </c>
      <c r="K176" s="23"/>
    </row>
    <row r="177" ht="15.75" customHeight="1">
      <c r="A177" s="21">
        <v>173.0</v>
      </c>
      <c r="B177" s="23" t="s">
        <v>1000</v>
      </c>
      <c r="C177" s="23" t="s">
        <v>163</v>
      </c>
      <c r="D177" s="23" t="s">
        <v>1174</v>
      </c>
      <c r="E177" s="26" t="s">
        <v>43</v>
      </c>
      <c r="F177" s="29" t="s">
        <v>46</v>
      </c>
      <c r="G177" s="30" t="s">
        <v>47</v>
      </c>
      <c r="H177" s="35"/>
      <c r="I177" s="40"/>
      <c r="J177" s="40" t="str">
        <f t="array" ref="J177">IF($I177="","",IFERROR(INDEX(Legend!$C$41:$C$45,MATCH($I177,Legend!$B$41:$B$45,0)),""))</f>
        <v/>
      </c>
      <c r="K177" s="23"/>
    </row>
    <row r="178" ht="15.75" customHeight="1">
      <c r="A178" s="21">
        <v>174.0</v>
      </c>
      <c r="B178" s="23" t="s">
        <v>1000</v>
      </c>
      <c r="C178" s="23" t="s">
        <v>163</v>
      </c>
      <c r="D178" s="23" t="s">
        <v>1179</v>
      </c>
      <c r="E178" s="26" t="s">
        <v>43</v>
      </c>
      <c r="F178" s="32" t="s">
        <v>34</v>
      </c>
      <c r="G178" s="33" t="s">
        <v>50</v>
      </c>
      <c r="H178" s="35"/>
      <c r="I178" s="40"/>
      <c r="J178" s="40" t="str">
        <f t="array" ref="J178">IF($I178="","",IFERROR(INDEX(Legend!$C$41:$C$45,MATCH($I178,Legend!$B$41:$B$45,0)),""))</f>
        <v/>
      </c>
      <c r="K178" s="23"/>
    </row>
    <row r="179" ht="15.75" customHeight="1">
      <c r="A179" s="21">
        <v>175.0</v>
      </c>
      <c r="B179" s="23" t="s">
        <v>1000</v>
      </c>
      <c r="C179" s="23" t="s">
        <v>163</v>
      </c>
      <c r="D179" s="23" t="s">
        <v>1183</v>
      </c>
      <c r="E179" s="26" t="s">
        <v>43</v>
      </c>
      <c r="F179" s="32" t="s">
        <v>34</v>
      </c>
      <c r="G179" s="33" t="s">
        <v>50</v>
      </c>
      <c r="H179" s="35"/>
      <c r="I179" s="40"/>
      <c r="J179" s="40" t="str">
        <f t="array" ref="J179">IF($I179="","",IFERROR(INDEX(Legend!$C$41:$C$45,MATCH($I179,Legend!$B$41:$B$45,0)),""))</f>
        <v/>
      </c>
      <c r="K179" s="23"/>
    </row>
    <row r="180" ht="15.75" customHeight="1">
      <c r="A180" s="21">
        <v>176.0</v>
      </c>
      <c r="B180" s="23" t="s">
        <v>1000</v>
      </c>
      <c r="C180" s="23" t="s">
        <v>163</v>
      </c>
      <c r="D180" s="23" t="s">
        <v>1188</v>
      </c>
      <c r="E180" s="26" t="s">
        <v>43</v>
      </c>
      <c r="F180" s="32" t="s">
        <v>34</v>
      </c>
      <c r="G180" s="33" t="s">
        <v>50</v>
      </c>
      <c r="H180" s="35"/>
      <c r="I180" s="40"/>
      <c r="J180" s="40" t="str">
        <f t="array" ref="J180">IF($I180="","",IFERROR(INDEX(Legend!$C$41:$C$45,MATCH($I180,Legend!$B$41:$B$45,0)),""))</f>
        <v/>
      </c>
      <c r="K180" s="23"/>
    </row>
    <row r="181" ht="15.75" customHeight="1">
      <c r="A181" s="21">
        <v>177.0</v>
      </c>
      <c r="B181" s="23" t="s">
        <v>1191</v>
      </c>
      <c r="C181" s="23"/>
      <c r="D181" s="23" t="s">
        <v>1192</v>
      </c>
      <c r="E181" s="25" t="s">
        <v>42</v>
      </c>
      <c r="F181" s="26" t="s">
        <v>77</v>
      </c>
      <c r="G181" s="62" t="s">
        <v>49</v>
      </c>
      <c r="H181" s="35" t="s">
        <v>1193</v>
      </c>
      <c r="I181" s="40"/>
      <c r="J181" s="40" t="str">
        <f t="array" ref="J181">IF($I181="","",IFERROR(INDEX(Legend!$C$41:$C$45,MATCH($I181,Legend!$B$41:$B$45,0)),""))</f>
        <v/>
      </c>
      <c r="K181" s="23"/>
    </row>
    <row r="182" ht="15.75" customHeight="1">
      <c r="A182" s="21">
        <v>178.0</v>
      </c>
      <c r="B182" s="23" t="s">
        <v>1191</v>
      </c>
      <c r="C182" s="23"/>
      <c r="D182" s="23" t="s">
        <v>1199</v>
      </c>
      <c r="E182" s="25" t="s">
        <v>42</v>
      </c>
      <c r="F182" s="26" t="s">
        <v>77</v>
      </c>
      <c r="G182" s="33" t="s">
        <v>50</v>
      </c>
      <c r="H182" s="35" t="s">
        <v>1201</v>
      </c>
      <c r="I182" s="40"/>
      <c r="J182" s="40" t="str">
        <f t="array" ref="J182">IF($I182="","",IFERROR(INDEX(Legend!$C$41:$C$45,MATCH($I182,Legend!$B$41:$B$45,0)),""))</f>
        <v/>
      </c>
      <c r="K182" s="23"/>
    </row>
    <row r="183" ht="15.75" customHeight="1">
      <c r="A183" s="21">
        <v>179.0</v>
      </c>
      <c r="B183" s="23" t="s">
        <v>1191</v>
      </c>
      <c r="C183" s="23"/>
      <c r="D183" s="23" t="s">
        <v>1204</v>
      </c>
      <c r="E183" s="25" t="s">
        <v>42</v>
      </c>
      <c r="F183" s="26" t="s">
        <v>77</v>
      </c>
      <c r="G183" s="33" t="s">
        <v>50</v>
      </c>
      <c r="H183" s="35"/>
      <c r="I183" s="40"/>
      <c r="J183" s="40" t="str">
        <f t="array" ref="J183">IF($I183="","",IFERROR(INDEX(Legend!$C$41:$C$45,MATCH($I183,Legend!$B$41:$B$45,0)),""))</f>
        <v/>
      </c>
      <c r="K183" s="23"/>
    </row>
    <row r="184" ht="15.75" customHeight="1">
      <c r="A184" s="21">
        <v>180.0</v>
      </c>
      <c r="B184" s="23" t="s">
        <v>1191</v>
      </c>
      <c r="C184" s="23"/>
      <c r="D184" s="23" t="s">
        <v>1207</v>
      </c>
      <c r="E184" s="25" t="s">
        <v>42</v>
      </c>
      <c r="F184" s="26" t="s">
        <v>77</v>
      </c>
      <c r="G184" s="33" t="s">
        <v>50</v>
      </c>
      <c r="H184" s="35"/>
      <c r="I184" s="40"/>
      <c r="J184" s="40" t="str">
        <f t="array" ref="J184">IF($I184="","",IFERROR(INDEX(Legend!$C$41:$C$45,MATCH($I184,Legend!$B$41:$B$45,0)),""))</f>
        <v/>
      </c>
      <c r="K184" s="23"/>
    </row>
    <row r="185" ht="15.75" customHeight="1">
      <c r="A185" s="21">
        <v>181.0</v>
      </c>
      <c r="B185" s="23" t="s">
        <v>1191</v>
      </c>
      <c r="C185" s="23"/>
      <c r="D185" s="23" t="s">
        <v>1213</v>
      </c>
      <c r="E185" s="25" t="s">
        <v>42</v>
      </c>
      <c r="F185" s="29" t="s">
        <v>46</v>
      </c>
      <c r="G185" s="30" t="s">
        <v>47</v>
      </c>
      <c r="H185" s="35" t="s">
        <v>1214</v>
      </c>
      <c r="I185" s="40"/>
      <c r="J185" s="40" t="str">
        <f t="array" ref="J185">IF($I185="","",IFERROR(INDEX(Legend!$C$41:$C$45,MATCH($I185,Legend!$B$41:$B$45,0)),""))</f>
        <v/>
      </c>
      <c r="K185" s="23"/>
    </row>
    <row r="186" ht="15.75" customHeight="1">
      <c r="A186" s="21">
        <v>182.0</v>
      </c>
      <c r="B186" s="23" t="s">
        <v>1191</v>
      </c>
      <c r="C186" s="23"/>
      <c r="D186" s="23" t="s">
        <v>1219</v>
      </c>
      <c r="E186" s="25" t="s">
        <v>42</v>
      </c>
      <c r="F186" s="29" t="s">
        <v>46</v>
      </c>
      <c r="G186" s="30" t="s">
        <v>47</v>
      </c>
      <c r="H186" s="35" t="s">
        <v>1214</v>
      </c>
      <c r="I186" s="40"/>
      <c r="J186" s="40" t="str">
        <f t="array" ref="J186">IF($I186="","",IFERROR(INDEX(Legend!$C$41:$C$45,MATCH($I186,Legend!$B$41:$B$45,0)),""))</f>
        <v/>
      </c>
      <c r="K186" s="23"/>
    </row>
    <row r="187" ht="15.75" customHeight="1">
      <c r="A187" s="21">
        <v>183.0</v>
      </c>
      <c r="B187" s="23" t="s">
        <v>1191</v>
      </c>
      <c r="C187" s="23"/>
      <c r="D187" s="23" t="s">
        <v>1224</v>
      </c>
      <c r="E187" s="25" t="s">
        <v>42</v>
      </c>
      <c r="F187" s="29" t="s">
        <v>46</v>
      </c>
      <c r="G187" s="30" t="s">
        <v>47</v>
      </c>
      <c r="H187" s="35"/>
      <c r="I187" s="40"/>
      <c r="J187" s="40" t="str">
        <f t="array" ref="J187">IF($I187="","",IFERROR(INDEX(Legend!$C$41:$C$45,MATCH($I187,Legend!$B$41:$B$45,0)),""))</f>
        <v/>
      </c>
      <c r="K187" s="23"/>
    </row>
    <row r="188" ht="15.75" customHeight="1">
      <c r="A188" s="21">
        <v>184.0</v>
      </c>
      <c r="B188" s="23" t="s">
        <v>1191</v>
      </c>
      <c r="C188" s="23"/>
      <c r="D188" s="23" t="s">
        <v>1230</v>
      </c>
      <c r="E188" s="25" t="s">
        <v>42</v>
      </c>
      <c r="F188" s="26" t="s">
        <v>77</v>
      </c>
      <c r="G188" s="33" t="s">
        <v>50</v>
      </c>
      <c r="H188" s="35"/>
      <c r="I188" s="40"/>
      <c r="J188" s="40" t="str">
        <f t="array" ref="J188">IF($I188="","",IFERROR(INDEX(Legend!$C$41:$C$45,MATCH($I188,Legend!$B$41:$B$45,0)),""))</f>
        <v/>
      </c>
      <c r="K188" s="23"/>
    </row>
    <row r="189" ht="15.75" customHeight="1">
      <c r="A189" s="21">
        <v>185.0</v>
      </c>
      <c r="B189" s="23" t="s">
        <v>1191</v>
      </c>
      <c r="C189" s="23"/>
      <c r="D189" s="23" t="s">
        <v>1235</v>
      </c>
      <c r="E189" s="25" t="s">
        <v>42</v>
      </c>
      <c r="F189" s="32" t="s">
        <v>34</v>
      </c>
      <c r="G189" s="62" t="s">
        <v>49</v>
      </c>
      <c r="H189" s="35" t="s">
        <v>1236</v>
      </c>
      <c r="I189" s="40"/>
      <c r="J189" s="40" t="str">
        <f t="array" ref="J189">IF($I189="","",IFERROR(INDEX(Legend!$C$41:$C$45,MATCH($I189,Legend!$B$41:$B$45,0)),""))</f>
        <v/>
      </c>
      <c r="K189" s="23"/>
    </row>
    <row r="190" ht="15.75" customHeight="1">
      <c r="A190" s="21">
        <v>186.0</v>
      </c>
      <c r="B190" s="23" t="s">
        <v>1241</v>
      </c>
      <c r="C190" s="23" t="s">
        <v>1242</v>
      </c>
      <c r="D190" s="23" t="s">
        <v>1243</v>
      </c>
      <c r="E190" s="25" t="s">
        <v>42</v>
      </c>
      <c r="F190" s="32" t="s">
        <v>34</v>
      </c>
      <c r="G190" s="33" t="s">
        <v>50</v>
      </c>
      <c r="H190" s="35" t="s">
        <v>1244</v>
      </c>
      <c r="I190" s="40"/>
      <c r="J190" s="40" t="str">
        <f t="array" ref="J190">IF($I190="","",IFERROR(INDEX(Legend!$C$41:$C$45,MATCH($I190,Legend!$B$41:$B$45,0)),""))</f>
        <v/>
      </c>
      <c r="K190" s="23"/>
    </row>
    <row r="191" ht="15.75" customHeight="1">
      <c r="A191" s="21">
        <v>187.0</v>
      </c>
      <c r="B191" s="23" t="s">
        <v>1241</v>
      </c>
      <c r="C191" s="23" t="s">
        <v>1242</v>
      </c>
      <c r="D191" s="23" t="s">
        <v>1247</v>
      </c>
      <c r="E191" s="26" t="s">
        <v>43</v>
      </c>
      <c r="F191" s="26" t="s">
        <v>77</v>
      </c>
      <c r="G191" s="30" t="s">
        <v>47</v>
      </c>
      <c r="H191" s="35" t="s">
        <v>1249</v>
      </c>
      <c r="I191" s="40"/>
      <c r="J191" s="40" t="str">
        <f t="array" ref="J191">IF($I191="","",IFERROR(INDEX(Legend!$C$41:$C$45,MATCH($I191,Legend!$B$41:$B$45,0)),""))</f>
        <v/>
      </c>
      <c r="K191" s="23"/>
    </row>
    <row r="192" ht="15.75" customHeight="1">
      <c r="A192" s="21">
        <v>188.0</v>
      </c>
      <c r="B192" s="23" t="s">
        <v>1241</v>
      </c>
      <c r="C192" s="23" t="s">
        <v>1242</v>
      </c>
      <c r="D192" s="23" t="s">
        <v>1252</v>
      </c>
      <c r="E192" s="25" t="s">
        <v>42</v>
      </c>
      <c r="F192" s="32" t="s">
        <v>34</v>
      </c>
      <c r="G192" s="33" t="s">
        <v>50</v>
      </c>
      <c r="H192" s="35" t="s">
        <v>1253</v>
      </c>
      <c r="I192" s="40"/>
      <c r="J192" s="40" t="str">
        <f t="array" ref="J192">IF($I192="","",IFERROR(INDEX(Legend!$C$41:$C$45,MATCH($I192,Legend!$B$41:$B$45,0)),""))</f>
        <v/>
      </c>
      <c r="K192" s="23"/>
    </row>
    <row r="193" ht="15.75" customHeight="1">
      <c r="A193" s="21">
        <v>189.0</v>
      </c>
      <c r="B193" s="23" t="s">
        <v>1241</v>
      </c>
      <c r="C193" s="23" t="s">
        <v>1242</v>
      </c>
      <c r="D193" s="23" t="s">
        <v>1255</v>
      </c>
      <c r="E193" s="26" t="s">
        <v>43</v>
      </c>
      <c r="F193" s="26" t="s">
        <v>77</v>
      </c>
      <c r="G193" s="30" t="s">
        <v>47</v>
      </c>
      <c r="H193" s="35" t="s">
        <v>1256</v>
      </c>
      <c r="I193" s="40"/>
      <c r="J193" s="40" t="str">
        <f t="array" ref="J193">IF($I193="","",IFERROR(INDEX(Legend!$C$41:$C$45,MATCH($I193,Legend!$B$41:$B$45,0)),""))</f>
        <v/>
      </c>
      <c r="K193" s="23"/>
    </row>
    <row r="194" ht="15.75" customHeight="1">
      <c r="A194" s="21">
        <v>190.0</v>
      </c>
      <c r="B194" s="23" t="s">
        <v>1241</v>
      </c>
      <c r="C194" s="23" t="s">
        <v>1242</v>
      </c>
      <c r="D194" s="23" t="s">
        <v>1260</v>
      </c>
      <c r="E194" s="26" t="s">
        <v>43</v>
      </c>
      <c r="F194" s="32" t="s">
        <v>34</v>
      </c>
      <c r="G194" s="33" t="s">
        <v>50</v>
      </c>
      <c r="H194" s="35" t="s">
        <v>1261</v>
      </c>
      <c r="I194" s="40"/>
      <c r="J194" s="40" t="str">
        <f t="array" ref="J194">IF($I194="","",IFERROR(INDEX(Legend!$C$41:$C$45,MATCH($I194,Legend!$B$41:$B$45,0)),""))</f>
        <v/>
      </c>
      <c r="K194" s="23"/>
    </row>
    <row r="195" ht="15.75" customHeight="1">
      <c r="A195" s="21">
        <v>191.0</v>
      </c>
      <c r="B195" s="23" t="s">
        <v>1241</v>
      </c>
      <c r="C195" s="23" t="s">
        <v>1242</v>
      </c>
      <c r="D195" s="23" t="s">
        <v>1266</v>
      </c>
      <c r="E195" s="26" t="s">
        <v>43</v>
      </c>
      <c r="F195" s="26" t="s">
        <v>77</v>
      </c>
      <c r="G195" s="33" t="s">
        <v>50</v>
      </c>
      <c r="H195" s="35" t="s">
        <v>1267</v>
      </c>
      <c r="I195" s="40"/>
      <c r="J195" s="40" t="str">
        <f t="array" ref="J195">IF($I195="","",IFERROR(INDEX(Legend!$C$41:$C$45,MATCH($I195,Legend!$B$41:$B$45,0)),""))</f>
        <v/>
      </c>
      <c r="K195" s="23"/>
    </row>
    <row r="196" ht="15.75" customHeight="1">
      <c r="A196" s="21">
        <v>192.0</v>
      </c>
      <c r="B196" s="23" t="s">
        <v>1241</v>
      </c>
      <c r="C196" s="23" t="s">
        <v>1242</v>
      </c>
      <c r="D196" s="23" t="s">
        <v>1272</v>
      </c>
      <c r="E196" s="26" t="s">
        <v>43</v>
      </c>
      <c r="F196" s="32" t="s">
        <v>34</v>
      </c>
      <c r="G196" s="30" t="s">
        <v>47</v>
      </c>
      <c r="H196" s="35" t="s">
        <v>1273</v>
      </c>
      <c r="I196" s="40"/>
      <c r="J196" s="40" t="str">
        <f t="array" ref="J196">IF($I196="","",IFERROR(INDEX(Legend!$C$41:$C$45,MATCH($I196,Legend!$B$41:$B$45,0)),""))</f>
        <v/>
      </c>
      <c r="K196" s="23"/>
    </row>
    <row r="197" ht="15.75" customHeight="1">
      <c r="A197" s="21">
        <v>193.0</v>
      </c>
      <c r="B197" s="23" t="s">
        <v>1241</v>
      </c>
      <c r="C197" s="23" t="s">
        <v>1242</v>
      </c>
      <c r="D197" s="23" t="s">
        <v>1278</v>
      </c>
      <c r="E197" s="26" t="s">
        <v>43</v>
      </c>
      <c r="F197" s="26" t="s">
        <v>77</v>
      </c>
      <c r="G197" s="30" t="s">
        <v>47</v>
      </c>
      <c r="H197" s="35" t="s">
        <v>1279</v>
      </c>
      <c r="I197" s="40"/>
      <c r="J197" s="40" t="str">
        <f t="array" ref="J197">IF($I197="","",IFERROR(INDEX(Legend!$C$41:$C$45,MATCH($I197,Legend!$B$41:$B$45,0)),""))</f>
        <v/>
      </c>
      <c r="K197" s="23"/>
    </row>
    <row r="198" ht="15.75" customHeight="1">
      <c r="A198" s="21">
        <v>194.0</v>
      </c>
      <c r="B198" s="23" t="s">
        <v>1241</v>
      </c>
      <c r="C198" s="23" t="s">
        <v>1242</v>
      </c>
      <c r="D198" s="23" t="s">
        <v>1287</v>
      </c>
      <c r="E198" s="26" t="s">
        <v>43</v>
      </c>
      <c r="F198" s="32" t="s">
        <v>34</v>
      </c>
      <c r="G198" s="30" t="s">
        <v>47</v>
      </c>
      <c r="H198" s="35" t="s">
        <v>1288</v>
      </c>
      <c r="I198" s="40"/>
      <c r="J198" s="40" t="str">
        <f t="array" ref="J198">IF($I198="","",IFERROR(INDEX(Legend!$C$41:$C$45,MATCH($I198,Legend!$B$41:$B$45,0)),""))</f>
        <v/>
      </c>
      <c r="K198" s="23"/>
    </row>
    <row r="199" ht="15.75" customHeight="1">
      <c r="A199" s="21">
        <v>195.0</v>
      </c>
      <c r="B199" s="23" t="s">
        <v>1241</v>
      </c>
      <c r="C199" s="23" t="s">
        <v>1242</v>
      </c>
      <c r="D199" s="23" t="s">
        <v>1293</v>
      </c>
      <c r="E199" s="25" t="s">
        <v>42</v>
      </c>
      <c r="F199" s="32" t="s">
        <v>34</v>
      </c>
      <c r="G199" s="33" t="s">
        <v>50</v>
      </c>
      <c r="H199" s="35" t="s">
        <v>1294</v>
      </c>
      <c r="I199" s="40"/>
      <c r="J199" s="40" t="str">
        <f t="array" ref="J199">IF($I199="","",IFERROR(INDEX(Legend!$C$41:$C$45,MATCH($I199,Legend!$B$41:$B$45,0)),""))</f>
        <v/>
      </c>
      <c r="K199" s="23"/>
    </row>
    <row r="200" ht="15.75" customHeight="1">
      <c r="A200" s="21">
        <v>196.0</v>
      </c>
      <c r="B200" s="23" t="s">
        <v>1241</v>
      </c>
      <c r="C200" s="23" t="s">
        <v>1242</v>
      </c>
      <c r="D200" s="23" t="s">
        <v>1298</v>
      </c>
      <c r="E200" s="26" t="s">
        <v>43</v>
      </c>
      <c r="F200" s="32" t="s">
        <v>34</v>
      </c>
      <c r="G200" s="30" t="s">
        <v>47</v>
      </c>
      <c r="H200" s="35" t="s">
        <v>1299</v>
      </c>
      <c r="I200" s="40"/>
      <c r="J200" s="40" t="str">
        <f t="array" ref="J200">IF($I200="","",IFERROR(INDEX(Legend!$C$41:$C$45,MATCH($I200,Legend!$B$41:$B$45,0)),""))</f>
        <v/>
      </c>
      <c r="K200" s="23"/>
    </row>
    <row r="201" ht="15.75" customHeight="1">
      <c r="A201" s="21">
        <v>197.0</v>
      </c>
      <c r="B201" s="23" t="s">
        <v>1241</v>
      </c>
      <c r="C201" s="23" t="s">
        <v>1242</v>
      </c>
      <c r="D201" s="23" t="s">
        <v>1304</v>
      </c>
      <c r="E201" s="26" t="s">
        <v>43</v>
      </c>
      <c r="F201" s="26" t="s">
        <v>77</v>
      </c>
      <c r="G201" s="30" t="s">
        <v>47</v>
      </c>
      <c r="H201" s="35" t="s">
        <v>1305</v>
      </c>
      <c r="I201" s="40"/>
      <c r="J201" s="40" t="str">
        <f t="array" ref="J201">IF($I201="","",IFERROR(INDEX(Legend!$C$41:$C$45,MATCH($I201,Legend!$B$41:$B$45,0)),""))</f>
        <v/>
      </c>
      <c r="K201" s="23"/>
    </row>
    <row r="202" ht="15.75" customHeight="1">
      <c r="A202" s="21">
        <v>198.0</v>
      </c>
      <c r="B202" s="23" t="s">
        <v>1241</v>
      </c>
      <c r="C202" s="23" t="s">
        <v>1242</v>
      </c>
      <c r="D202" s="23" t="s">
        <v>1308</v>
      </c>
      <c r="E202" s="25" t="s">
        <v>42</v>
      </c>
      <c r="F202" s="29" t="s">
        <v>46</v>
      </c>
      <c r="G202" s="30" t="s">
        <v>47</v>
      </c>
      <c r="H202" s="35" t="s">
        <v>1309</v>
      </c>
      <c r="I202" s="40"/>
      <c r="J202" s="40" t="str">
        <f t="array" ref="J202">IF($I202="","",IFERROR(INDEX(Legend!$C$41:$C$45,MATCH($I202,Legend!$B$41:$B$45,0)),""))</f>
        <v/>
      </c>
      <c r="K202" s="23"/>
    </row>
    <row r="203" ht="15.75" customHeight="1">
      <c r="A203" s="21">
        <v>199.0</v>
      </c>
      <c r="B203" s="23" t="s">
        <v>1241</v>
      </c>
      <c r="C203" s="23" t="s">
        <v>1242</v>
      </c>
      <c r="D203" s="23" t="s">
        <v>1313</v>
      </c>
      <c r="E203" s="26" t="s">
        <v>43</v>
      </c>
      <c r="F203" s="26" t="s">
        <v>77</v>
      </c>
      <c r="G203" s="30" t="s">
        <v>47</v>
      </c>
      <c r="H203" s="35" t="s">
        <v>1314</v>
      </c>
      <c r="I203" s="40"/>
      <c r="J203" s="40" t="str">
        <f t="array" ref="J203">IF($I203="","",IFERROR(INDEX(Legend!$C$41:$C$45,MATCH($I203,Legend!$B$41:$B$45,0)),""))</f>
        <v/>
      </c>
      <c r="K203" s="23"/>
    </row>
    <row r="204" ht="15.75" customHeight="1">
      <c r="A204" s="21">
        <v>200.0</v>
      </c>
      <c r="B204" s="23" t="s">
        <v>1316</v>
      </c>
      <c r="C204" s="23" t="s">
        <v>1318</v>
      </c>
      <c r="D204" s="23" t="s">
        <v>1319</v>
      </c>
      <c r="E204" s="25" t="s">
        <v>42</v>
      </c>
      <c r="F204" s="32" t="s">
        <v>34</v>
      </c>
      <c r="G204" s="33" t="s">
        <v>50</v>
      </c>
      <c r="H204" s="35" t="s">
        <v>1321</v>
      </c>
      <c r="I204" s="40"/>
      <c r="J204" s="40" t="str">
        <f t="array" ref="J204">IF($I204="","",IFERROR(INDEX(Legend!$C$41:$C$45,MATCH($I204,Legend!$B$41:$B$45,0)),""))</f>
        <v/>
      </c>
      <c r="K204" s="23"/>
    </row>
    <row r="205" ht="15.75" customHeight="1">
      <c r="A205" s="21">
        <v>201.0</v>
      </c>
      <c r="B205" s="23" t="s">
        <v>1316</v>
      </c>
      <c r="C205" s="23" t="s">
        <v>1318</v>
      </c>
      <c r="D205" s="23" t="s">
        <v>1326</v>
      </c>
      <c r="E205" s="26" t="s">
        <v>43</v>
      </c>
      <c r="F205" s="26" t="s">
        <v>77</v>
      </c>
      <c r="G205" s="30" t="s">
        <v>47</v>
      </c>
      <c r="H205" s="35" t="s">
        <v>1327</v>
      </c>
      <c r="I205" s="40"/>
      <c r="J205" s="40" t="str">
        <f t="array" ref="J205">IF($I205="","",IFERROR(INDEX(Legend!$C$41:$C$45,MATCH($I205,Legend!$B$41:$B$45,0)),""))</f>
        <v/>
      </c>
      <c r="K205" s="23"/>
    </row>
    <row r="206" ht="15.75" customHeight="1">
      <c r="A206" s="21">
        <v>202.0</v>
      </c>
      <c r="B206" s="23" t="s">
        <v>1316</v>
      </c>
      <c r="C206" s="23" t="s">
        <v>1318</v>
      </c>
      <c r="D206" s="23" t="s">
        <v>1331</v>
      </c>
      <c r="E206" s="25" t="s">
        <v>42</v>
      </c>
      <c r="F206" s="32" t="s">
        <v>34</v>
      </c>
      <c r="G206" s="30" t="s">
        <v>47</v>
      </c>
      <c r="H206" s="35" t="s">
        <v>1332</v>
      </c>
      <c r="I206" s="40"/>
      <c r="J206" s="40" t="str">
        <f t="array" ref="J206">IF($I206="","",IFERROR(INDEX(Legend!$C$41:$C$45,MATCH($I206,Legend!$B$41:$B$45,0)),""))</f>
        <v/>
      </c>
      <c r="K206" s="23"/>
    </row>
    <row r="207" ht="15.75" customHeight="1">
      <c r="A207" s="21">
        <v>203.0</v>
      </c>
      <c r="B207" s="23" t="s">
        <v>1316</v>
      </c>
      <c r="C207" s="23" t="s">
        <v>1318</v>
      </c>
      <c r="D207" s="23" t="s">
        <v>1335</v>
      </c>
      <c r="E207" s="25" t="s">
        <v>42</v>
      </c>
      <c r="F207" s="32" t="s">
        <v>34</v>
      </c>
      <c r="G207" s="30" t="s">
        <v>47</v>
      </c>
      <c r="H207" s="35" t="s">
        <v>1336</v>
      </c>
      <c r="I207" s="40"/>
      <c r="J207" s="40" t="str">
        <f t="array" ref="J207">IF($I207="","",IFERROR(INDEX(Legend!$C$41:$C$45,MATCH($I207,Legend!$B$41:$B$45,0)),""))</f>
        <v/>
      </c>
      <c r="K207" s="23"/>
    </row>
    <row r="208" ht="15.75" customHeight="1">
      <c r="A208" s="21">
        <v>204.0</v>
      </c>
      <c r="B208" s="23" t="s">
        <v>1316</v>
      </c>
      <c r="C208" s="23" t="s">
        <v>1318</v>
      </c>
      <c r="D208" s="23" t="s">
        <v>1341</v>
      </c>
      <c r="E208" s="26" t="s">
        <v>43</v>
      </c>
      <c r="F208" s="29" t="s">
        <v>46</v>
      </c>
      <c r="G208" s="30" t="s">
        <v>47</v>
      </c>
      <c r="H208" s="35" t="s">
        <v>1342</v>
      </c>
      <c r="I208" s="40"/>
      <c r="J208" s="40" t="str">
        <f t="array" ref="J208">IF($I208="","",IFERROR(INDEX(Legend!$C$41:$C$45,MATCH($I208,Legend!$B$41:$B$45,0)),""))</f>
        <v/>
      </c>
      <c r="K208" s="23"/>
    </row>
    <row r="209" ht="15.75" customHeight="1">
      <c r="A209" s="21">
        <v>205.0</v>
      </c>
      <c r="B209" s="23" t="s">
        <v>1316</v>
      </c>
      <c r="C209" s="23" t="s">
        <v>1318</v>
      </c>
      <c r="D209" s="23" t="s">
        <v>1345</v>
      </c>
      <c r="E209" s="25" t="s">
        <v>42</v>
      </c>
      <c r="F209" s="32" t="s">
        <v>34</v>
      </c>
      <c r="G209" s="30" t="s">
        <v>47</v>
      </c>
      <c r="H209" s="35" t="s">
        <v>1346</v>
      </c>
      <c r="I209" s="40"/>
      <c r="J209" s="40" t="str">
        <f t="array" ref="J209">IF($I209="","",IFERROR(INDEX(Legend!$C$41:$C$45,MATCH($I209,Legend!$B$41:$B$45,0)),""))</f>
        <v/>
      </c>
      <c r="K209" s="23"/>
    </row>
    <row r="210" ht="15.75" customHeight="1">
      <c r="A210" s="21">
        <v>206.0</v>
      </c>
      <c r="B210" s="23" t="s">
        <v>1316</v>
      </c>
      <c r="C210" s="23" t="s">
        <v>1318</v>
      </c>
      <c r="D210" s="23" t="s">
        <v>1349</v>
      </c>
      <c r="E210" s="26" t="s">
        <v>43</v>
      </c>
      <c r="F210" s="26" t="s">
        <v>77</v>
      </c>
      <c r="G210" s="30" t="s">
        <v>47</v>
      </c>
      <c r="H210" s="35" t="s">
        <v>1351</v>
      </c>
      <c r="I210" s="40"/>
      <c r="J210" s="40" t="str">
        <f t="array" ref="J210">IF($I210="","",IFERROR(INDEX(Legend!$C$41:$C$45,MATCH($I210,Legend!$B$41:$B$45,0)),""))</f>
        <v/>
      </c>
      <c r="K210" s="23"/>
    </row>
    <row r="211" ht="15.75" customHeight="1">
      <c r="A211" s="21">
        <v>207.0</v>
      </c>
      <c r="B211" s="23" t="s">
        <v>744</v>
      </c>
      <c r="C211" s="23" t="s">
        <v>1354</v>
      </c>
      <c r="D211" s="23" t="s">
        <v>1355</v>
      </c>
      <c r="E211" s="25" t="s">
        <v>42</v>
      </c>
      <c r="F211" s="32" t="s">
        <v>34</v>
      </c>
      <c r="G211" s="62" t="s">
        <v>49</v>
      </c>
      <c r="H211" s="35" t="s">
        <v>1356</v>
      </c>
      <c r="I211" s="40"/>
      <c r="J211" s="40" t="str">
        <f t="array" ref="J211">IF($I211="","",IFERROR(INDEX(Legend!$C$41:$C$45,MATCH($I211,Legend!$B$41:$B$45,0)),""))</f>
        <v/>
      </c>
      <c r="K211" s="23"/>
    </row>
    <row r="212" ht="15.75" customHeight="1">
      <c r="A212" s="21">
        <v>208.0</v>
      </c>
      <c r="B212" s="23" t="s">
        <v>744</v>
      </c>
      <c r="C212" s="23" t="s">
        <v>1354</v>
      </c>
      <c r="D212" s="23" t="s">
        <v>1360</v>
      </c>
      <c r="E212" s="25" t="s">
        <v>42</v>
      </c>
      <c r="F212" s="32" t="s">
        <v>34</v>
      </c>
      <c r="G212" s="62" t="s">
        <v>49</v>
      </c>
      <c r="H212" s="35" t="s">
        <v>1361</v>
      </c>
      <c r="I212" s="40"/>
      <c r="J212" s="40" t="str">
        <f t="array" ref="J212">IF($I212="","",IFERROR(INDEX(Legend!$C$41:$C$45,MATCH($I212,Legend!$B$41:$B$45,0)),""))</f>
        <v/>
      </c>
      <c r="K212" s="23"/>
    </row>
    <row r="213" ht="15.75" customHeight="1">
      <c r="A213" s="21">
        <v>209.0</v>
      </c>
      <c r="B213" s="23" t="s">
        <v>744</v>
      </c>
      <c r="C213" s="23" t="s">
        <v>1354</v>
      </c>
      <c r="D213" s="23" t="s">
        <v>1365</v>
      </c>
      <c r="E213" s="25" t="s">
        <v>42</v>
      </c>
      <c r="F213" s="32" t="s">
        <v>34</v>
      </c>
      <c r="G213" s="62" t="s">
        <v>49</v>
      </c>
      <c r="H213" s="35" t="s">
        <v>1367</v>
      </c>
      <c r="I213" s="40"/>
      <c r="J213" s="40" t="str">
        <f t="array" ref="J213">IF($I213="","",IFERROR(INDEX(Legend!$C$41:$C$45,MATCH($I213,Legend!$B$41:$B$45,0)),""))</f>
        <v/>
      </c>
      <c r="K213" s="23"/>
    </row>
    <row r="214" ht="15.75" customHeight="1">
      <c r="A214" s="21">
        <v>210.0</v>
      </c>
      <c r="B214" s="23" t="s">
        <v>744</v>
      </c>
      <c r="C214" s="23" t="s">
        <v>1354</v>
      </c>
      <c r="D214" s="23" t="s">
        <v>1370</v>
      </c>
      <c r="E214" s="25" t="s">
        <v>42</v>
      </c>
      <c r="F214" s="32" t="s">
        <v>34</v>
      </c>
      <c r="G214" s="62" t="s">
        <v>49</v>
      </c>
      <c r="H214" s="35" t="s">
        <v>1372</v>
      </c>
      <c r="I214" s="40"/>
      <c r="J214" s="40" t="str">
        <f t="array" ref="J214">IF($I214="","",IFERROR(INDEX(Legend!$C$41:$C$45,MATCH($I214,Legend!$B$41:$B$45,0)),""))</f>
        <v/>
      </c>
      <c r="K214" s="23"/>
    </row>
    <row r="215" ht="15.75" customHeight="1">
      <c r="A215" s="21">
        <v>211.0</v>
      </c>
      <c r="B215" s="23" t="s">
        <v>744</v>
      </c>
      <c r="C215" s="23" t="s">
        <v>1354</v>
      </c>
      <c r="D215" s="23" t="s">
        <v>1375</v>
      </c>
      <c r="E215" s="25" t="s">
        <v>42</v>
      </c>
      <c r="F215" s="26" t="s">
        <v>77</v>
      </c>
      <c r="G215" s="62" t="s">
        <v>49</v>
      </c>
      <c r="H215" s="35" t="s">
        <v>1376</v>
      </c>
      <c r="I215" s="40"/>
      <c r="J215" s="40" t="str">
        <f t="array" ref="J215">IF($I215="","",IFERROR(INDEX(Legend!$C$41:$C$45,MATCH($I215,Legend!$B$41:$B$45,0)),""))</f>
        <v/>
      </c>
      <c r="K215" s="23"/>
    </row>
    <row r="216" ht="15.75" customHeight="1">
      <c r="A216" s="21">
        <v>212.0</v>
      </c>
      <c r="B216" s="23" t="s">
        <v>744</v>
      </c>
      <c r="C216" s="23" t="s">
        <v>1354</v>
      </c>
      <c r="D216" s="23" t="s">
        <v>1379</v>
      </c>
      <c r="E216" s="25" t="s">
        <v>42</v>
      </c>
      <c r="F216" s="32" t="s">
        <v>34</v>
      </c>
      <c r="G216" s="62" t="s">
        <v>49</v>
      </c>
      <c r="H216" s="35" t="s">
        <v>1380</v>
      </c>
      <c r="I216" s="40"/>
      <c r="J216" s="40" t="str">
        <f t="array" ref="J216">IF($I216="","",IFERROR(INDEX(Legend!$C$41:$C$45,MATCH($I216,Legend!$B$41:$B$45,0)),""))</f>
        <v/>
      </c>
      <c r="K216" s="23"/>
    </row>
    <row r="217" ht="15.75" customHeight="1">
      <c r="A217" s="21">
        <v>213.0</v>
      </c>
      <c r="B217" s="23" t="s">
        <v>744</v>
      </c>
      <c r="C217" s="23" t="s">
        <v>1354</v>
      </c>
      <c r="D217" s="23" t="s">
        <v>1384</v>
      </c>
      <c r="E217" s="25" t="s">
        <v>42</v>
      </c>
      <c r="F217" s="26" t="s">
        <v>77</v>
      </c>
      <c r="G217" s="62" t="s">
        <v>49</v>
      </c>
      <c r="H217" s="35" t="s">
        <v>1385</v>
      </c>
      <c r="I217" s="40"/>
      <c r="J217" s="40" t="str">
        <f t="array" ref="J217">IF($I217="","",IFERROR(INDEX(Legend!$C$41:$C$45,MATCH($I217,Legend!$B$41:$B$45,0)),""))</f>
        <v/>
      </c>
      <c r="K217" s="23"/>
    </row>
    <row r="218" ht="15.75" customHeight="1">
      <c r="A218" s="21">
        <v>214.0</v>
      </c>
      <c r="B218" s="23" t="s">
        <v>744</v>
      </c>
      <c r="C218" s="23" t="s">
        <v>1354</v>
      </c>
      <c r="D218" s="23" t="s">
        <v>1388</v>
      </c>
      <c r="E218" s="25" t="s">
        <v>42</v>
      </c>
      <c r="F218" s="32" t="s">
        <v>34</v>
      </c>
      <c r="G218" s="33" t="s">
        <v>50</v>
      </c>
      <c r="H218" s="35" t="s">
        <v>1389</v>
      </c>
      <c r="I218" s="40"/>
      <c r="J218" s="40" t="str">
        <f t="array" ref="J218">IF($I218="","",IFERROR(INDEX(Legend!$C$41:$C$45,MATCH($I218,Legend!$B$41:$B$45,0)),""))</f>
        <v/>
      </c>
      <c r="K218" s="23"/>
    </row>
    <row r="219" ht="15.75" customHeight="1">
      <c r="A219" s="21">
        <v>215.0</v>
      </c>
      <c r="B219" s="23" t="s">
        <v>744</v>
      </c>
      <c r="C219" s="23" t="s">
        <v>1354</v>
      </c>
      <c r="D219" s="23" t="s">
        <v>1393</v>
      </c>
      <c r="E219" s="25" t="s">
        <v>42</v>
      </c>
      <c r="F219" s="32" t="s">
        <v>34</v>
      </c>
      <c r="G219" s="62" t="s">
        <v>49</v>
      </c>
      <c r="H219" s="35" t="s">
        <v>1394</v>
      </c>
      <c r="I219" s="40"/>
      <c r="J219" s="40" t="str">
        <f t="array" ref="J219">IF($I219="","",IFERROR(INDEX(Legend!$C$41:$C$45,MATCH($I219,Legend!$B$41:$B$45,0)),""))</f>
        <v/>
      </c>
      <c r="K219" s="23"/>
    </row>
    <row r="220" ht="15.75" customHeight="1">
      <c r="A220" s="21">
        <v>216.0</v>
      </c>
      <c r="B220" s="23" t="s">
        <v>744</v>
      </c>
      <c r="C220" s="23" t="s">
        <v>1354</v>
      </c>
      <c r="D220" s="23" t="s">
        <v>1398</v>
      </c>
      <c r="E220" s="25" t="s">
        <v>42</v>
      </c>
      <c r="F220" s="32" t="s">
        <v>34</v>
      </c>
      <c r="G220" s="33" t="s">
        <v>50</v>
      </c>
      <c r="H220" s="35" t="s">
        <v>1399</v>
      </c>
      <c r="I220" s="40"/>
      <c r="J220" s="40" t="str">
        <f t="array" ref="J220">IF($I220="","",IFERROR(INDEX(Legend!$C$41:$C$45,MATCH($I220,Legend!$B$41:$B$45,0)),""))</f>
        <v/>
      </c>
      <c r="K220" s="23"/>
    </row>
    <row r="221" ht="15.75" customHeight="1">
      <c r="A221" s="21">
        <v>217.0</v>
      </c>
      <c r="B221" s="23" t="s">
        <v>744</v>
      </c>
      <c r="C221" s="23" t="s">
        <v>1354</v>
      </c>
      <c r="D221" s="23" t="s">
        <v>1402</v>
      </c>
      <c r="E221" s="25" t="s">
        <v>42</v>
      </c>
      <c r="F221" s="32" t="s">
        <v>34</v>
      </c>
      <c r="G221" s="33" t="s">
        <v>50</v>
      </c>
      <c r="H221" s="35" t="s">
        <v>1403</v>
      </c>
      <c r="I221" s="40"/>
      <c r="J221" s="40" t="str">
        <f t="array" ref="J221">IF($I221="","",IFERROR(INDEX(Legend!$C$41:$C$45,MATCH($I221,Legend!$B$41:$B$45,0)),""))</f>
        <v/>
      </c>
      <c r="K221" s="23"/>
    </row>
    <row r="222" ht="15.75" customHeight="1">
      <c r="A222" s="21">
        <v>218.0</v>
      </c>
      <c r="B222" s="23" t="s">
        <v>744</v>
      </c>
      <c r="C222" s="23" t="s">
        <v>1354</v>
      </c>
      <c r="D222" s="23" t="s">
        <v>1406</v>
      </c>
      <c r="E222" s="25" t="s">
        <v>42</v>
      </c>
      <c r="F222" s="26" t="s">
        <v>77</v>
      </c>
      <c r="G222" s="62" t="s">
        <v>49</v>
      </c>
      <c r="H222" s="35" t="s">
        <v>1409</v>
      </c>
      <c r="I222" s="40"/>
      <c r="J222" s="40" t="str">
        <f t="array" ref="J222">IF($I222="","",IFERROR(INDEX(Legend!$C$41:$C$45,MATCH($I222,Legend!$B$41:$B$45,0)),""))</f>
        <v/>
      </c>
      <c r="K222" s="23"/>
    </row>
    <row r="223" ht="15.75" customHeight="1">
      <c r="A223" s="21">
        <v>219.0</v>
      </c>
      <c r="B223" s="23" t="s">
        <v>744</v>
      </c>
      <c r="C223" s="23" t="s">
        <v>1354</v>
      </c>
      <c r="D223" s="23" t="s">
        <v>1412</v>
      </c>
      <c r="E223" s="25" t="s">
        <v>42</v>
      </c>
      <c r="F223" s="26" t="s">
        <v>77</v>
      </c>
      <c r="G223" s="62" t="s">
        <v>49</v>
      </c>
      <c r="H223" s="35" t="s">
        <v>1413</v>
      </c>
      <c r="I223" s="40"/>
      <c r="J223" s="40" t="str">
        <f t="array" ref="J223">IF($I223="","",IFERROR(INDEX(Legend!$C$41:$C$45,MATCH($I223,Legend!$B$41:$B$45,0)),""))</f>
        <v/>
      </c>
      <c r="K223" s="23"/>
    </row>
    <row r="224" ht="15.75" customHeight="1">
      <c r="A224" s="21">
        <v>220.0</v>
      </c>
      <c r="B224" s="23" t="s">
        <v>744</v>
      </c>
      <c r="C224" s="23" t="s">
        <v>1354</v>
      </c>
      <c r="D224" s="23" t="s">
        <v>1418</v>
      </c>
      <c r="E224" s="25" t="s">
        <v>42</v>
      </c>
      <c r="F224" s="32" t="s">
        <v>34</v>
      </c>
      <c r="G224" s="62" t="s">
        <v>49</v>
      </c>
      <c r="H224" s="35" t="s">
        <v>1419</v>
      </c>
      <c r="I224" s="40"/>
      <c r="J224" s="40" t="str">
        <f t="array" ref="J224">IF($I224="","",IFERROR(INDEX(Legend!$C$41:$C$45,MATCH($I224,Legend!$B$41:$B$45,0)),""))</f>
        <v/>
      </c>
      <c r="K224" s="23"/>
    </row>
    <row r="225" ht="15.75" customHeight="1">
      <c r="A225" s="21">
        <v>221.0</v>
      </c>
      <c r="B225" s="23" t="s">
        <v>744</v>
      </c>
      <c r="C225" s="23" t="s">
        <v>1354</v>
      </c>
      <c r="D225" s="23" t="s">
        <v>1423</v>
      </c>
      <c r="E225" s="25" t="s">
        <v>42</v>
      </c>
      <c r="F225" s="32" t="s">
        <v>34</v>
      </c>
      <c r="G225" s="33" t="s">
        <v>50</v>
      </c>
      <c r="H225" s="35" t="s">
        <v>1425</v>
      </c>
      <c r="I225" s="40"/>
      <c r="J225" s="40" t="str">
        <f t="array" ref="J225">IF($I225="","",IFERROR(INDEX(Legend!$C$41:$C$45,MATCH($I225,Legend!$B$41:$B$45,0)),""))</f>
        <v/>
      </c>
      <c r="K225" s="23"/>
    </row>
    <row r="226" ht="15.75" customHeight="1">
      <c r="A226" s="21">
        <v>222.0</v>
      </c>
      <c r="B226" s="23" t="s">
        <v>744</v>
      </c>
      <c r="C226" s="23" t="s">
        <v>1354</v>
      </c>
      <c r="D226" s="23" t="s">
        <v>1427</v>
      </c>
      <c r="E226" s="25" t="s">
        <v>42</v>
      </c>
      <c r="F226" s="32" t="s">
        <v>34</v>
      </c>
      <c r="G226" s="62" t="s">
        <v>49</v>
      </c>
      <c r="H226" s="35" t="s">
        <v>1428</v>
      </c>
      <c r="I226" s="40"/>
      <c r="J226" s="40" t="str">
        <f t="array" ref="J226">IF($I226="","",IFERROR(INDEX(Legend!$C$41:$C$45,MATCH($I226,Legend!$B$41:$B$45,0)),""))</f>
        <v/>
      </c>
      <c r="K226" s="23"/>
    </row>
    <row r="227" ht="15.75" customHeight="1">
      <c r="A227" s="21">
        <v>223.0</v>
      </c>
      <c r="B227" s="23" t="s">
        <v>744</v>
      </c>
      <c r="C227" s="23" t="s">
        <v>1354</v>
      </c>
      <c r="D227" s="23" t="s">
        <v>1432</v>
      </c>
      <c r="E227" s="25" t="s">
        <v>42</v>
      </c>
      <c r="F227" s="32" t="s">
        <v>34</v>
      </c>
      <c r="G227" s="33" t="s">
        <v>50</v>
      </c>
      <c r="H227" s="35" t="s">
        <v>1433</v>
      </c>
      <c r="I227" s="40"/>
      <c r="J227" s="40" t="str">
        <f t="array" ref="J227">IF($I227="","",IFERROR(INDEX(Legend!$C$41:$C$45,MATCH($I227,Legend!$B$41:$B$45,0)),""))</f>
        <v/>
      </c>
      <c r="K227" s="23"/>
    </row>
    <row r="228" ht="15.75" customHeight="1">
      <c r="A228" s="21">
        <v>224.0</v>
      </c>
      <c r="B228" s="23" t="s">
        <v>744</v>
      </c>
      <c r="C228" s="23" t="s">
        <v>1354</v>
      </c>
      <c r="D228" s="23" t="s">
        <v>1438</v>
      </c>
      <c r="E228" s="25" t="s">
        <v>42</v>
      </c>
      <c r="F228" s="26" t="s">
        <v>77</v>
      </c>
      <c r="G228" s="62" t="s">
        <v>49</v>
      </c>
      <c r="H228" s="35" t="s">
        <v>1439</v>
      </c>
      <c r="I228" s="40"/>
      <c r="J228" s="40" t="str">
        <f t="array" ref="J228">IF($I228="","",IFERROR(INDEX(Legend!$C$41:$C$45,MATCH($I228,Legend!$B$41:$B$45,0)),""))</f>
        <v/>
      </c>
      <c r="K228" s="23"/>
    </row>
    <row r="229" ht="15.75" customHeight="1">
      <c r="A229" s="21">
        <v>225.0</v>
      </c>
      <c r="B229" s="23" t="s">
        <v>744</v>
      </c>
      <c r="C229" s="23" t="s">
        <v>1354</v>
      </c>
      <c r="D229" s="23" t="s">
        <v>1442</v>
      </c>
      <c r="E229" s="25" t="s">
        <v>42</v>
      </c>
      <c r="F229" s="32" t="s">
        <v>34</v>
      </c>
      <c r="G229" s="33" t="s">
        <v>50</v>
      </c>
      <c r="H229" s="35" t="s">
        <v>1443</v>
      </c>
      <c r="I229" s="40"/>
      <c r="J229" s="40" t="str">
        <f t="array" ref="J229">IF($I229="","",IFERROR(INDEX(Legend!$C$41:$C$45,MATCH($I229,Legend!$B$41:$B$45,0)),""))</f>
        <v/>
      </c>
      <c r="K229" s="23"/>
    </row>
    <row r="230" ht="15.75" customHeight="1">
      <c r="A230" s="21">
        <v>226.0</v>
      </c>
      <c r="B230" s="23" t="s">
        <v>744</v>
      </c>
      <c r="C230" s="23" t="s">
        <v>1354</v>
      </c>
      <c r="D230" s="23" t="s">
        <v>1445</v>
      </c>
      <c r="E230" s="25" t="s">
        <v>42</v>
      </c>
      <c r="F230" s="29" t="s">
        <v>46</v>
      </c>
      <c r="G230" s="33" t="s">
        <v>50</v>
      </c>
      <c r="H230" s="35" t="s">
        <v>1447</v>
      </c>
      <c r="I230" s="40"/>
      <c r="J230" s="40" t="str">
        <f t="array" ref="J230">IF($I230="","",IFERROR(INDEX(Legend!$C$41:$C$45,MATCH($I230,Legend!$B$41:$B$45,0)),""))</f>
        <v/>
      </c>
      <c r="K230" s="23"/>
    </row>
    <row r="231" ht="15.75" customHeight="1">
      <c r="A231" s="21">
        <v>227.0</v>
      </c>
      <c r="B231" s="23" t="s">
        <v>744</v>
      </c>
      <c r="C231" s="23" t="s">
        <v>1354</v>
      </c>
      <c r="D231" s="23" t="s">
        <v>1452</v>
      </c>
      <c r="E231" s="26" t="s">
        <v>43</v>
      </c>
      <c r="F231" s="26" t="s">
        <v>77</v>
      </c>
      <c r="G231" s="30" t="s">
        <v>47</v>
      </c>
      <c r="H231" s="35" t="s">
        <v>1453</v>
      </c>
      <c r="I231" s="40"/>
      <c r="J231" s="40" t="str">
        <f t="array" ref="J231">IF($I231="","",IFERROR(INDEX(Legend!$C$41:$C$45,MATCH($I231,Legend!$B$41:$B$45,0)),""))</f>
        <v/>
      </c>
      <c r="K231" s="23"/>
    </row>
    <row r="232" ht="15.75" customHeight="1">
      <c r="A232" s="21">
        <v>228.0</v>
      </c>
      <c r="B232" s="23" t="s">
        <v>744</v>
      </c>
      <c r="C232" s="23" t="s">
        <v>1354</v>
      </c>
      <c r="D232" s="23" t="s">
        <v>1457</v>
      </c>
      <c r="E232" s="26" t="s">
        <v>43</v>
      </c>
      <c r="F232" s="26" t="s">
        <v>77</v>
      </c>
      <c r="G232" s="30" t="s">
        <v>47</v>
      </c>
      <c r="H232" s="35" t="s">
        <v>1458</v>
      </c>
      <c r="I232" s="40"/>
      <c r="J232" s="40" t="str">
        <f t="array" ref="J232">IF($I232="","",IFERROR(INDEX(Legend!$C$41:$C$45,MATCH($I232,Legend!$B$41:$B$45,0)),""))</f>
        <v/>
      </c>
      <c r="K232" s="23"/>
    </row>
    <row r="233" ht="15.75" customHeight="1">
      <c r="A233" s="21">
        <v>229.0</v>
      </c>
      <c r="B233" s="23" t="s">
        <v>744</v>
      </c>
      <c r="C233" s="23" t="s">
        <v>1354</v>
      </c>
      <c r="D233" s="23" t="s">
        <v>1462</v>
      </c>
      <c r="E233" s="26" t="s">
        <v>43</v>
      </c>
      <c r="F233" s="26" t="s">
        <v>77</v>
      </c>
      <c r="G233" s="30" t="s">
        <v>47</v>
      </c>
      <c r="H233" s="35" t="s">
        <v>1463</v>
      </c>
      <c r="I233" s="40"/>
      <c r="J233" s="40" t="str">
        <f t="array" ref="J233">IF($I233="","",IFERROR(INDEX(Legend!$C$41:$C$45,MATCH($I233,Legend!$B$41:$B$45,0)),""))</f>
        <v/>
      </c>
      <c r="K233" s="23"/>
    </row>
    <row r="234" ht="15.75" customHeight="1">
      <c r="A234" s="21">
        <v>230.0</v>
      </c>
      <c r="B234" s="23" t="s">
        <v>744</v>
      </c>
      <c r="C234" s="23" t="s">
        <v>1354</v>
      </c>
      <c r="D234" s="23" t="s">
        <v>1465</v>
      </c>
      <c r="E234" s="26" t="s">
        <v>43</v>
      </c>
      <c r="F234" s="26" t="s">
        <v>77</v>
      </c>
      <c r="G234" s="30" t="s">
        <v>47</v>
      </c>
      <c r="H234" s="35" t="s">
        <v>1468</v>
      </c>
      <c r="I234" s="40"/>
      <c r="J234" s="40" t="str">
        <f t="array" ref="J234">IF($I234="","",IFERROR(INDEX(Legend!$C$41:$C$45,MATCH($I234,Legend!$B$41:$B$45,0)),""))</f>
        <v/>
      </c>
      <c r="K234" s="23"/>
    </row>
    <row r="235" ht="15.75" customHeight="1">
      <c r="A235" s="21">
        <v>231.0</v>
      </c>
      <c r="B235" s="23" t="s">
        <v>744</v>
      </c>
      <c r="C235" s="23" t="s">
        <v>1354</v>
      </c>
      <c r="D235" s="23" t="s">
        <v>1471</v>
      </c>
      <c r="E235" s="26" t="s">
        <v>43</v>
      </c>
      <c r="F235" s="26" t="s">
        <v>77</v>
      </c>
      <c r="G235" s="30" t="s">
        <v>47</v>
      </c>
      <c r="H235" s="35" t="s">
        <v>1472</v>
      </c>
      <c r="I235" s="40"/>
      <c r="J235" s="40" t="str">
        <f t="array" ref="J235">IF($I235="","",IFERROR(INDEX(Legend!$C$41:$C$45,MATCH($I235,Legend!$B$41:$B$45,0)),""))</f>
        <v/>
      </c>
      <c r="K235" s="23"/>
    </row>
    <row r="236" ht="15.75" customHeight="1">
      <c r="A236" s="21">
        <v>232.0</v>
      </c>
      <c r="B236" s="23" t="s">
        <v>744</v>
      </c>
      <c r="C236" s="23" t="s">
        <v>1354</v>
      </c>
      <c r="D236" s="23" t="s">
        <v>1477</v>
      </c>
      <c r="E236" s="60" t="s">
        <v>56</v>
      </c>
      <c r="F236" s="26" t="s">
        <v>77</v>
      </c>
      <c r="G236" s="30" t="s">
        <v>47</v>
      </c>
      <c r="H236" s="35" t="s">
        <v>1479</v>
      </c>
      <c r="I236" s="40"/>
      <c r="J236" s="40" t="str">
        <f t="array" ref="J236">IF($I236="","",IFERROR(INDEX(Legend!$C$41:$C$45,MATCH($I236,Legend!$B$41:$B$45,0)),""))</f>
        <v/>
      </c>
      <c r="K236" s="23"/>
    </row>
    <row r="237" ht="15.75" customHeight="1">
      <c r="A237" s="21">
        <v>233.0</v>
      </c>
      <c r="B237" s="23" t="s">
        <v>1482</v>
      </c>
      <c r="C237" s="23" t="s">
        <v>1483</v>
      </c>
      <c r="D237" s="23" t="s">
        <v>1485</v>
      </c>
      <c r="E237" s="25" t="s">
        <v>42</v>
      </c>
      <c r="F237" s="32" t="s">
        <v>34</v>
      </c>
      <c r="G237" s="62" t="s">
        <v>49</v>
      </c>
      <c r="H237" s="35" t="s">
        <v>1487</v>
      </c>
      <c r="I237" s="40"/>
      <c r="J237" s="40" t="str">
        <f t="array" ref="J237">IF($I237="","",IFERROR(INDEX(Legend!$C$41:$C$45,MATCH($I237,Legend!$B$41:$B$45,0)),""))</f>
        <v/>
      </c>
      <c r="K237" s="23"/>
    </row>
    <row r="238" ht="15.75" customHeight="1">
      <c r="A238" s="21">
        <v>234.0</v>
      </c>
      <c r="B238" s="23" t="s">
        <v>1482</v>
      </c>
      <c r="C238" s="23" t="s">
        <v>1483</v>
      </c>
      <c r="D238" s="23" t="s">
        <v>1490</v>
      </c>
      <c r="E238" s="25" t="s">
        <v>42</v>
      </c>
      <c r="F238" s="32" t="s">
        <v>34</v>
      </c>
      <c r="G238" s="62" t="s">
        <v>49</v>
      </c>
      <c r="H238" s="35" t="s">
        <v>1491</v>
      </c>
      <c r="I238" s="40"/>
      <c r="J238" s="40" t="str">
        <f t="array" ref="J238">IF($I238="","",IFERROR(INDEX(Legend!$C$41:$C$45,MATCH($I238,Legend!$B$41:$B$45,0)),""))</f>
        <v/>
      </c>
      <c r="K238" s="23"/>
    </row>
    <row r="239" ht="15.75" customHeight="1">
      <c r="A239" s="21">
        <v>235.0</v>
      </c>
      <c r="B239" s="23" t="s">
        <v>1482</v>
      </c>
      <c r="C239" s="23" t="s">
        <v>1483</v>
      </c>
      <c r="D239" s="23" t="s">
        <v>1496</v>
      </c>
      <c r="E239" s="25" t="s">
        <v>42</v>
      </c>
      <c r="F239" s="26" t="s">
        <v>77</v>
      </c>
      <c r="G239" s="62" t="s">
        <v>49</v>
      </c>
      <c r="H239" s="35" t="s">
        <v>1497</v>
      </c>
      <c r="I239" s="40"/>
      <c r="J239" s="40" t="str">
        <f t="array" ref="J239">IF($I239="","",IFERROR(INDEX(Legend!$C$41:$C$45,MATCH($I239,Legend!$B$41:$B$45,0)),""))</f>
        <v/>
      </c>
      <c r="K239" s="23"/>
    </row>
    <row r="240" ht="15.75" customHeight="1">
      <c r="A240" s="21">
        <v>236.0</v>
      </c>
      <c r="B240" s="23" t="s">
        <v>1482</v>
      </c>
      <c r="C240" s="23" t="s">
        <v>1483</v>
      </c>
      <c r="D240" s="23" t="s">
        <v>1501</v>
      </c>
      <c r="E240" s="25" t="s">
        <v>42</v>
      </c>
      <c r="F240" s="26" t="s">
        <v>77</v>
      </c>
      <c r="G240" s="33" t="s">
        <v>50</v>
      </c>
      <c r="H240" s="35" t="s">
        <v>1503</v>
      </c>
      <c r="I240" s="40"/>
      <c r="J240" s="40" t="str">
        <f t="array" ref="J240">IF($I240="","",IFERROR(INDEX(Legend!$C$41:$C$45,MATCH($I240,Legend!$B$41:$B$45,0)),""))</f>
        <v/>
      </c>
      <c r="K240" s="23"/>
    </row>
    <row r="241" ht="15.75" customHeight="1">
      <c r="A241" s="21">
        <v>237.0</v>
      </c>
      <c r="B241" s="23" t="s">
        <v>1482</v>
      </c>
      <c r="C241" s="23" t="s">
        <v>1483</v>
      </c>
      <c r="D241" s="23" t="s">
        <v>1507</v>
      </c>
      <c r="E241" s="25" t="s">
        <v>42</v>
      </c>
      <c r="F241" s="32" t="s">
        <v>34</v>
      </c>
      <c r="G241" s="33" t="s">
        <v>50</v>
      </c>
      <c r="H241" s="35" t="s">
        <v>1508</v>
      </c>
      <c r="I241" s="40"/>
      <c r="J241" s="40" t="str">
        <f t="array" ref="J241">IF($I241="","",IFERROR(INDEX(Legend!$C$41:$C$45,MATCH($I241,Legend!$B$41:$B$45,0)),""))</f>
        <v/>
      </c>
      <c r="K241" s="23"/>
    </row>
    <row r="242" ht="15.75" customHeight="1">
      <c r="A242" s="21">
        <v>238.0</v>
      </c>
      <c r="B242" s="23" t="s">
        <v>1482</v>
      </c>
      <c r="C242" s="23" t="s">
        <v>1483</v>
      </c>
      <c r="D242" s="23" t="s">
        <v>1511</v>
      </c>
      <c r="E242" s="25" t="s">
        <v>42</v>
      </c>
      <c r="F242" s="32" t="s">
        <v>34</v>
      </c>
      <c r="G242" s="62" t="s">
        <v>49</v>
      </c>
      <c r="H242" s="35" t="s">
        <v>1512</v>
      </c>
      <c r="I242" s="40"/>
      <c r="J242" s="40" t="str">
        <f t="array" ref="J242">IF($I242="","",IFERROR(INDEX(Legend!$C$41:$C$45,MATCH($I242,Legend!$B$41:$B$45,0)),""))</f>
        <v/>
      </c>
      <c r="K242" s="23"/>
    </row>
    <row r="243" ht="15.75" customHeight="1">
      <c r="A243" s="21">
        <v>239.0</v>
      </c>
      <c r="B243" s="23" t="s">
        <v>1482</v>
      </c>
      <c r="C243" s="23" t="s">
        <v>1483</v>
      </c>
      <c r="D243" s="23" t="s">
        <v>1516</v>
      </c>
      <c r="E243" s="25" t="s">
        <v>42</v>
      </c>
      <c r="F243" s="26" t="s">
        <v>77</v>
      </c>
      <c r="G243" s="62" t="s">
        <v>49</v>
      </c>
      <c r="H243" s="35" t="s">
        <v>1517</v>
      </c>
      <c r="I243" s="40"/>
      <c r="J243" s="40" t="str">
        <f t="array" ref="J243">IF($I243="","",IFERROR(INDEX(Legend!$C$41:$C$45,MATCH($I243,Legend!$B$41:$B$45,0)),""))</f>
        <v/>
      </c>
      <c r="K243" s="23"/>
    </row>
    <row r="244" ht="15.75" customHeight="1">
      <c r="A244" s="21">
        <v>240.0</v>
      </c>
      <c r="B244" s="23" t="s">
        <v>1482</v>
      </c>
      <c r="C244" s="23" t="s">
        <v>1483</v>
      </c>
      <c r="D244" s="23" t="s">
        <v>1521</v>
      </c>
      <c r="E244" s="25" t="s">
        <v>42</v>
      </c>
      <c r="F244" s="32" t="s">
        <v>34</v>
      </c>
      <c r="G244" s="33" t="s">
        <v>50</v>
      </c>
      <c r="H244" s="35" t="s">
        <v>1522</v>
      </c>
      <c r="I244" s="40"/>
      <c r="J244" s="40" t="str">
        <f t="array" ref="J244">IF($I244="","",IFERROR(INDEX(Legend!$C$41:$C$45,MATCH($I244,Legend!$B$41:$B$45,0)),""))</f>
        <v/>
      </c>
      <c r="K244" s="23"/>
    </row>
    <row r="245" ht="15.75" customHeight="1">
      <c r="A245" s="21">
        <v>241.0</v>
      </c>
      <c r="B245" s="23" t="s">
        <v>1482</v>
      </c>
      <c r="C245" s="23" t="s">
        <v>1483</v>
      </c>
      <c r="D245" s="23" t="s">
        <v>1525</v>
      </c>
      <c r="E245" s="25" t="s">
        <v>42</v>
      </c>
      <c r="F245" s="29" t="s">
        <v>46</v>
      </c>
      <c r="G245" s="33" t="s">
        <v>50</v>
      </c>
      <c r="H245" s="35" t="s">
        <v>1526</v>
      </c>
      <c r="I245" s="40"/>
      <c r="J245" s="40" t="str">
        <f t="array" ref="J245">IF($I245="","",IFERROR(INDEX(Legend!$C$41:$C$45,MATCH($I245,Legend!$B$41:$B$45,0)),""))</f>
        <v/>
      </c>
      <c r="K245" s="23"/>
    </row>
    <row r="246" ht="15.75" customHeight="1">
      <c r="A246" s="21">
        <v>242.0</v>
      </c>
      <c r="B246" s="23" t="s">
        <v>1482</v>
      </c>
      <c r="C246" s="23" t="s">
        <v>1483</v>
      </c>
      <c r="D246" s="23" t="s">
        <v>1529</v>
      </c>
      <c r="E246" s="25" t="s">
        <v>42</v>
      </c>
      <c r="F246" s="32" t="s">
        <v>34</v>
      </c>
      <c r="G246" s="62" t="s">
        <v>49</v>
      </c>
      <c r="H246" s="35" t="s">
        <v>1530</v>
      </c>
      <c r="I246" s="40"/>
      <c r="J246" s="40" t="str">
        <f t="array" ref="J246">IF($I246="","",IFERROR(INDEX(Legend!$C$41:$C$45,MATCH($I246,Legend!$B$41:$B$45,0)),""))</f>
        <v/>
      </c>
      <c r="K246" s="23"/>
    </row>
    <row r="247" ht="15.75" customHeight="1">
      <c r="A247" s="21">
        <v>243.0</v>
      </c>
      <c r="B247" s="23" t="s">
        <v>1482</v>
      </c>
      <c r="C247" s="23" t="s">
        <v>1483</v>
      </c>
      <c r="D247" s="23" t="s">
        <v>1535</v>
      </c>
      <c r="E247" s="25" t="s">
        <v>42</v>
      </c>
      <c r="F247" s="32" t="s">
        <v>34</v>
      </c>
      <c r="G247" s="33" t="s">
        <v>50</v>
      </c>
      <c r="H247" s="35" t="s">
        <v>1536</v>
      </c>
      <c r="I247" s="40"/>
      <c r="J247" s="40" t="str">
        <f t="array" ref="J247">IF($I247="","",IFERROR(INDEX(Legend!$C$41:$C$45,MATCH($I247,Legend!$B$41:$B$45,0)),""))</f>
        <v/>
      </c>
      <c r="K247" s="23"/>
    </row>
    <row r="248" ht="15.75" customHeight="1">
      <c r="A248" s="21">
        <v>244.0</v>
      </c>
      <c r="B248" s="23" t="s">
        <v>1482</v>
      </c>
      <c r="C248" s="23" t="s">
        <v>1483</v>
      </c>
      <c r="D248" s="23" t="s">
        <v>1538</v>
      </c>
      <c r="E248" s="26" t="s">
        <v>43</v>
      </c>
      <c r="F248" s="32" t="s">
        <v>34</v>
      </c>
      <c r="G248" s="30" t="s">
        <v>47</v>
      </c>
      <c r="H248" s="35" t="s">
        <v>1539</v>
      </c>
      <c r="I248" s="40"/>
      <c r="J248" s="40" t="str">
        <f t="array" ref="J248">IF($I248="","",IFERROR(INDEX(Legend!$C$41:$C$45,MATCH($I248,Legend!$B$41:$B$45,0)),""))</f>
        <v/>
      </c>
      <c r="K248" s="23"/>
    </row>
    <row r="249" ht="15.75" customHeight="1">
      <c r="A249" s="21">
        <v>245.0</v>
      </c>
      <c r="B249" s="23" t="s">
        <v>1482</v>
      </c>
      <c r="C249" s="23" t="s">
        <v>1483</v>
      </c>
      <c r="D249" s="23" t="s">
        <v>1542</v>
      </c>
      <c r="E249" s="25" t="s">
        <v>42</v>
      </c>
      <c r="F249" s="32" t="s">
        <v>34</v>
      </c>
      <c r="G249" s="62" t="s">
        <v>49</v>
      </c>
      <c r="H249" s="35" t="s">
        <v>1543</v>
      </c>
      <c r="I249" s="40"/>
      <c r="J249" s="40" t="str">
        <f t="array" ref="J249">IF($I249="","",IFERROR(INDEX(Legend!$C$41:$C$45,MATCH($I249,Legend!$B$41:$B$45,0)),""))</f>
        <v/>
      </c>
      <c r="K249" s="23"/>
    </row>
    <row r="250" ht="15.75" customHeight="1">
      <c r="A250" s="21">
        <v>246.0</v>
      </c>
      <c r="B250" s="23" t="s">
        <v>1482</v>
      </c>
      <c r="C250" s="23" t="s">
        <v>1483</v>
      </c>
      <c r="D250" s="23" t="s">
        <v>1545</v>
      </c>
      <c r="E250" s="25" t="s">
        <v>42</v>
      </c>
      <c r="F250" s="32" t="s">
        <v>34</v>
      </c>
      <c r="G250" s="62" t="s">
        <v>49</v>
      </c>
      <c r="H250" s="35" t="s">
        <v>1546</v>
      </c>
      <c r="I250" s="40"/>
      <c r="J250" s="40" t="str">
        <f t="array" ref="J250">IF($I250="","",IFERROR(INDEX(Legend!$C$41:$C$45,MATCH($I250,Legend!$B$41:$B$45,0)),""))</f>
        <v/>
      </c>
      <c r="K250" s="23"/>
    </row>
    <row r="251" ht="15.75" customHeight="1">
      <c r="A251" s="21">
        <v>247.0</v>
      </c>
      <c r="B251" s="23" t="s">
        <v>1482</v>
      </c>
      <c r="C251" s="23" t="s">
        <v>1483</v>
      </c>
      <c r="D251" s="23" t="s">
        <v>1548</v>
      </c>
      <c r="E251" s="25" t="s">
        <v>42</v>
      </c>
      <c r="F251" s="32" t="s">
        <v>34</v>
      </c>
      <c r="G251" s="62" t="s">
        <v>49</v>
      </c>
      <c r="H251" s="35" t="s">
        <v>1549</v>
      </c>
      <c r="I251" s="40"/>
      <c r="J251" s="40" t="str">
        <f t="array" ref="J251">IF($I251="","",IFERROR(INDEX(Legend!$C$41:$C$45,MATCH($I251,Legend!$B$41:$B$45,0)),""))</f>
        <v/>
      </c>
      <c r="K251" s="23"/>
    </row>
    <row r="252" ht="15.75" customHeight="1">
      <c r="A252" s="21">
        <v>248.0</v>
      </c>
      <c r="B252" s="23" t="s">
        <v>1482</v>
      </c>
      <c r="C252" s="23" t="s">
        <v>1483</v>
      </c>
      <c r="D252" s="23" t="s">
        <v>1552</v>
      </c>
      <c r="E252" s="25" t="s">
        <v>42</v>
      </c>
      <c r="F252" s="32" t="s">
        <v>34</v>
      </c>
      <c r="G252" s="33" t="s">
        <v>50</v>
      </c>
      <c r="H252" s="35" t="s">
        <v>1553</v>
      </c>
      <c r="I252" s="40"/>
      <c r="J252" s="40" t="str">
        <f t="array" ref="J252">IF($I252="","",IFERROR(INDEX(Legend!$C$41:$C$45,MATCH($I252,Legend!$B$41:$B$45,0)),""))</f>
        <v/>
      </c>
      <c r="K252" s="23"/>
    </row>
    <row r="253" ht="15.75" customHeight="1">
      <c r="A253" s="21">
        <v>249.0</v>
      </c>
      <c r="B253" s="23" t="s">
        <v>1482</v>
      </c>
      <c r="C253" s="23" t="s">
        <v>1483</v>
      </c>
      <c r="D253" s="23" t="s">
        <v>1557</v>
      </c>
      <c r="E253" s="25" t="s">
        <v>42</v>
      </c>
      <c r="F253" s="32" t="s">
        <v>34</v>
      </c>
      <c r="G253" s="30" t="s">
        <v>47</v>
      </c>
      <c r="H253" s="35" t="s">
        <v>1558</v>
      </c>
      <c r="I253" s="40"/>
      <c r="J253" s="40" t="str">
        <f t="array" ref="J253">IF($I253="","",IFERROR(INDEX(Legend!$C$41:$C$45,MATCH($I253,Legend!$B$41:$B$45,0)),""))</f>
        <v/>
      </c>
      <c r="K253" s="23"/>
    </row>
    <row r="254" ht="15.75" customHeight="1">
      <c r="A254" s="21">
        <v>250.0</v>
      </c>
      <c r="B254" s="23" t="s">
        <v>1482</v>
      </c>
      <c r="C254" s="23" t="s">
        <v>1483</v>
      </c>
      <c r="D254" s="23" t="s">
        <v>1561</v>
      </c>
      <c r="E254" s="25" t="s">
        <v>42</v>
      </c>
      <c r="F254" s="32" t="s">
        <v>34</v>
      </c>
      <c r="G254" s="33" t="s">
        <v>50</v>
      </c>
      <c r="H254" s="35" t="s">
        <v>1562</v>
      </c>
      <c r="I254" s="40"/>
      <c r="J254" s="40" t="str">
        <f t="array" ref="J254">IF($I254="","",IFERROR(INDEX(Legend!$C$41:$C$45,MATCH($I254,Legend!$B$41:$B$45,0)),""))</f>
        <v/>
      </c>
      <c r="K254" s="23"/>
    </row>
    <row r="255" ht="15.75" customHeight="1">
      <c r="A255" s="21">
        <v>251.0</v>
      </c>
      <c r="B255" s="23" t="s">
        <v>1482</v>
      </c>
      <c r="C255" s="23" t="s">
        <v>1483</v>
      </c>
      <c r="D255" s="23" t="s">
        <v>1564</v>
      </c>
      <c r="E255" s="25" t="s">
        <v>42</v>
      </c>
      <c r="F255" s="32" t="s">
        <v>34</v>
      </c>
      <c r="G255" s="33" t="s">
        <v>50</v>
      </c>
      <c r="H255" s="35" t="s">
        <v>1565</v>
      </c>
      <c r="I255" s="40"/>
      <c r="J255" s="40" t="str">
        <f t="array" ref="J255">IF($I255="","",IFERROR(INDEX(Legend!$C$41:$C$45,MATCH($I255,Legend!$B$41:$B$45,0)),""))</f>
        <v/>
      </c>
      <c r="K255" s="23"/>
    </row>
    <row r="256" ht="15.75" customHeight="1">
      <c r="A256" s="21">
        <v>252.0</v>
      </c>
      <c r="B256" s="23" t="s">
        <v>1482</v>
      </c>
      <c r="C256" s="23" t="s">
        <v>1483</v>
      </c>
      <c r="D256" s="23" t="s">
        <v>1568</v>
      </c>
      <c r="E256" s="25" t="s">
        <v>42</v>
      </c>
      <c r="F256" s="32" t="s">
        <v>34</v>
      </c>
      <c r="G256" s="33" t="s">
        <v>50</v>
      </c>
      <c r="H256" s="35" t="s">
        <v>1570</v>
      </c>
      <c r="I256" s="40"/>
      <c r="J256" s="40" t="str">
        <f t="array" ref="J256">IF($I256="","",IFERROR(INDEX(Legend!$C$41:$C$45,MATCH($I256,Legend!$B$41:$B$45,0)),""))</f>
        <v/>
      </c>
      <c r="K256" s="23"/>
    </row>
    <row r="257" ht="15.75" customHeight="1">
      <c r="A257" s="21">
        <v>253.0</v>
      </c>
      <c r="B257" s="23" t="s">
        <v>1482</v>
      </c>
      <c r="C257" s="23" t="s">
        <v>1483</v>
      </c>
      <c r="D257" s="23" t="s">
        <v>1572</v>
      </c>
      <c r="E257" s="25" t="s">
        <v>42</v>
      </c>
      <c r="F257" s="32" t="s">
        <v>34</v>
      </c>
      <c r="G257" s="33" t="s">
        <v>50</v>
      </c>
      <c r="H257" s="35" t="s">
        <v>1573</v>
      </c>
      <c r="I257" s="40"/>
      <c r="J257" s="40" t="str">
        <f t="array" ref="J257">IF($I257="","",IFERROR(INDEX(Legend!$C$41:$C$45,MATCH($I257,Legend!$B$41:$B$45,0)),""))</f>
        <v/>
      </c>
      <c r="K257" s="23"/>
    </row>
    <row r="258" ht="15.75" customHeight="1">
      <c r="A258" s="21">
        <v>254.0</v>
      </c>
      <c r="B258" s="23" t="s">
        <v>1482</v>
      </c>
      <c r="C258" s="23" t="s">
        <v>1483</v>
      </c>
      <c r="D258" s="23" t="s">
        <v>1575</v>
      </c>
      <c r="E258" s="25" t="s">
        <v>42</v>
      </c>
      <c r="F258" s="32" t="s">
        <v>34</v>
      </c>
      <c r="G258" s="33" t="s">
        <v>50</v>
      </c>
      <c r="H258" s="35" t="s">
        <v>1576</v>
      </c>
      <c r="I258" s="40"/>
      <c r="J258" s="40" t="str">
        <f t="array" ref="J258">IF($I258="","",IFERROR(INDEX(Legend!$C$41:$C$45,MATCH($I258,Legend!$B$41:$B$45,0)),""))</f>
        <v/>
      </c>
      <c r="K258" s="23"/>
    </row>
    <row r="259" ht="15.75" customHeight="1">
      <c r="A259" s="21">
        <v>255.0</v>
      </c>
      <c r="B259" s="23" t="s">
        <v>1482</v>
      </c>
      <c r="C259" s="23" t="s">
        <v>1483</v>
      </c>
      <c r="D259" s="23" t="s">
        <v>1578</v>
      </c>
      <c r="E259" s="25" t="s">
        <v>42</v>
      </c>
      <c r="F259" s="32" t="s">
        <v>34</v>
      </c>
      <c r="G259" s="33" t="s">
        <v>50</v>
      </c>
      <c r="H259" s="35" t="s">
        <v>1579</v>
      </c>
      <c r="I259" s="40"/>
      <c r="J259" s="40" t="str">
        <f t="array" ref="J259">IF($I259="","",IFERROR(INDEX(Legend!$C$41:$C$45,MATCH($I259,Legend!$B$41:$B$45,0)),""))</f>
        <v/>
      </c>
      <c r="K259" s="23"/>
    </row>
    <row r="260" ht="15.75" customHeight="1">
      <c r="A260" s="21">
        <v>256.0</v>
      </c>
      <c r="B260" s="23" t="s">
        <v>1482</v>
      </c>
      <c r="C260" s="23" t="s">
        <v>1483</v>
      </c>
      <c r="D260" s="23" t="s">
        <v>1582</v>
      </c>
      <c r="E260" s="26" t="s">
        <v>43</v>
      </c>
      <c r="F260" s="26" t="s">
        <v>77</v>
      </c>
      <c r="G260" s="30" t="s">
        <v>47</v>
      </c>
      <c r="H260" s="35" t="s">
        <v>1583</v>
      </c>
      <c r="I260" s="40"/>
      <c r="J260" s="40" t="str">
        <f t="array" ref="J260">IF($I260="","",IFERROR(INDEX(Legend!$C$41:$C$45,MATCH($I260,Legend!$B$41:$B$45,0)),""))</f>
        <v/>
      </c>
      <c r="K260" s="23"/>
    </row>
    <row r="261" ht="15.75" customHeight="1">
      <c r="A261" s="21">
        <v>257.0</v>
      </c>
      <c r="B261" s="23" t="s">
        <v>1482</v>
      </c>
      <c r="C261" s="23" t="s">
        <v>1483</v>
      </c>
      <c r="D261" s="23" t="s">
        <v>1587</v>
      </c>
      <c r="E261" s="26" t="s">
        <v>43</v>
      </c>
      <c r="F261" s="26" t="s">
        <v>77</v>
      </c>
      <c r="G261" s="33" t="s">
        <v>50</v>
      </c>
      <c r="H261" s="35" t="s">
        <v>1588</v>
      </c>
      <c r="I261" s="40"/>
      <c r="J261" s="40" t="str">
        <f t="array" ref="J261">IF($I261="","",IFERROR(INDEX(Legend!$C$41:$C$45,MATCH($I261,Legend!$B$41:$B$45,0)),""))</f>
        <v/>
      </c>
      <c r="K261" s="23"/>
    </row>
    <row r="262" ht="15.75" customHeight="1">
      <c r="A262" s="21">
        <v>258.0</v>
      </c>
      <c r="B262" s="23" t="s">
        <v>1482</v>
      </c>
      <c r="C262" s="23" t="s">
        <v>1483</v>
      </c>
      <c r="D262" s="23" t="s">
        <v>1591</v>
      </c>
      <c r="E262" s="26" t="s">
        <v>43</v>
      </c>
      <c r="F262" s="26" t="s">
        <v>77</v>
      </c>
      <c r="G262" s="30" t="s">
        <v>47</v>
      </c>
      <c r="H262" s="35" t="s">
        <v>1592</v>
      </c>
      <c r="I262" s="40"/>
      <c r="J262" s="40" t="str">
        <f t="array" ref="J262">IF($I262="","",IFERROR(INDEX(Legend!$C$41:$C$45,MATCH($I262,Legend!$B$41:$B$45,0)),""))</f>
        <v/>
      </c>
      <c r="K262" s="23"/>
    </row>
    <row r="263" ht="15.75" customHeight="1">
      <c r="A263" s="21">
        <v>259.0</v>
      </c>
      <c r="B263" s="23" t="s">
        <v>1482</v>
      </c>
      <c r="C263" s="23" t="s">
        <v>1483</v>
      </c>
      <c r="D263" s="23" t="s">
        <v>1594</v>
      </c>
      <c r="E263" s="26" t="s">
        <v>43</v>
      </c>
      <c r="F263" s="26" t="s">
        <v>77</v>
      </c>
      <c r="G263" s="33" t="s">
        <v>50</v>
      </c>
      <c r="H263" s="35" t="s">
        <v>1595</v>
      </c>
      <c r="I263" s="40"/>
      <c r="J263" s="40" t="str">
        <f t="array" ref="J263">IF($I263="","",IFERROR(INDEX(Legend!$C$41:$C$45,MATCH($I263,Legend!$B$41:$B$45,0)),""))</f>
        <v/>
      </c>
      <c r="K263" s="23"/>
    </row>
    <row r="264" ht="15.75" customHeight="1">
      <c r="A264" s="21">
        <v>260.0</v>
      </c>
      <c r="B264" s="23" t="s">
        <v>1600</v>
      </c>
      <c r="C264" s="23" t="s">
        <v>1601</v>
      </c>
      <c r="D264" s="23" t="s">
        <v>1602</v>
      </c>
      <c r="E264" s="63" t="s">
        <v>33</v>
      </c>
      <c r="F264" s="32" t="s">
        <v>34</v>
      </c>
      <c r="G264" s="62" t="s">
        <v>49</v>
      </c>
      <c r="H264" s="35" t="s">
        <v>1603</v>
      </c>
      <c r="I264" s="40"/>
      <c r="J264" s="40" t="str">
        <f t="array" ref="J264">IF($I264="","",IFERROR(INDEX(Legend!$C$41:$C$45,MATCH($I264,Legend!$B$41:$B$45,0)),""))</f>
        <v/>
      </c>
      <c r="K264" s="23"/>
    </row>
    <row r="265" ht="15.75" customHeight="1">
      <c r="A265" s="21">
        <v>261.0</v>
      </c>
      <c r="B265" s="23" t="s">
        <v>1600</v>
      </c>
      <c r="C265" s="23" t="s">
        <v>1601</v>
      </c>
      <c r="D265" s="23" t="s">
        <v>1607</v>
      </c>
      <c r="E265" s="25" t="s">
        <v>42</v>
      </c>
      <c r="F265" s="32" t="s">
        <v>34</v>
      </c>
      <c r="G265" s="62" t="s">
        <v>49</v>
      </c>
      <c r="H265" s="35" t="s">
        <v>1608</v>
      </c>
      <c r="I265" s="40"/>
      <c r="J265" s="40" t="str">
        <f t="array" ref="J265">IF($I265="","",IFERROR(INDEX(Legend!$C$41:$C$45,MATCH($I265,Legend!$B$41:$B$45,0)),""))</f>
        <v/>
      </c>
      <c r="K265" s="23"/>
    </row>
    <row r="266" ht="15.75" customHeight="1">
      <c r="A266" s="21">
        <v>262.0</v>
      </c>
      <c r="B266" s="23" t="s">
        <v>1600</v>
      </c>
      <c r="C266" s="23" t="s">
        <v>1601</v>
      </c>
      <c r="D266" s="23" t="s">
        <v>1613</v>
      </c>
      <c r="E266" s="25" t="s">
        <v>42</v>
      </c>
      <c r="F266" s="32" t="s">
        <v>34</v>
      </c>
      <c r="G266" s="62" t="s">
        <v>49</v>
      </c>
      <c r="H266" s="35" t="s">
        <v>1615</v>
      </c>
      <c r="I266" s="40"/>
      <c r="J266" s="40" t="str">
        <f t="array" ref="J266">IF($I266="","",IFERROR(INDEX(Legend!$C$41:$C$45,MATCH($I266,Legend!$B$41:$B$45,0)),""))</f>
        <v/>
      </c>
      <c r="K266" s="23"/>
    </row>
    <row r="267" ht="15.75" customHeight="1">
      <c r="A267" s="21">
        <v>263.0</v>
      </c>
      <c r="B267" s="23" t="s">
        <v>1600</v>
      </c>
      <c r="C267" s="23" t="s">
        <v>1601</v>
      </c>
      <c r="D267" s="23" t="s">
        <v>1619</v>
      </c>
      <c r="E267" s="25" t="s">
        <v>42</v>
      </c>
      <c r="F267" s="26" t="s">
        <v>77</v>
      </c>
      <c r="G267" s="33" t="s">
        <v>50</v>
      </c>
      <c r="H267" s="35" t="s">
        <v>1620</v>
      </c>
      <c r="I267" s="40"/>
      <c r="J267" s="40" t="str">
        <f t="array" ref="J267">IF($I267="","",IFERROR(INDEX(Legend!$C$41:$C$45,MATCH($I267,Legend!$B$41:$B$45,0)),""))</f>
        <v/>
      </c>
      <c r="K267" s="23"/>
    </row>
    <row r="268" ht="15.75" customHeight="1">
      <c r="A268" s="21">
        <v>264.0</v>
      </c>
      <c r="B268" s="23" t="s">
        <v>1600</v>
      </c>
      <c r="C268" s="23" t="s">
        <v>1601</v>
      </c>
      <c r="D268" s="23" t="s">
        <v>1622</v>
      </c>
      <c r="E268" s="25" t="s">
        <v>42</v>
      </c>
      <c r="F268" s="32" t="s">
        <v>34</v>
      </c>
      <c r="G268" s="33" t="s">
        <v>50</v>
      </c>
      <c r="H268" s="35" t="s">
        <v>1623</v>
      </c>
      <c r="I268" s="40"/>
      <c r="J268" s="40" t="str">
        <f t="array" ref="J268">IF($I268="","",IFERROR(INDEX(Legend!$C$41:$C$45,MATCH($I268,Legend!$B$41:$B$45,0)),""))</f>
        <v/>
      </c>
      <c r="K268" s="23"/>
    </row>
    <row r="269" ht="15.75" customHeight="1">
      <c r="A269" s="21">
        <v>265.0</v>
      </c>
      <c r="B269" s="23" t="s">
        <v>1600</v>
      </c>
      <c r="C269" s="23" t="s">
        <v>1601</v>
      </c>
      <c r="D269" s="23" t="s">
        <v>1628</v>
      </c>
      <c r="E269" s="25" t="s">
        <v>42</v>
      </c>
      <c r="F269" s="29" t="s">
        <v>46</v>
      </c>
      <c r="G269" s="33" t="s">
        <v>50</v>
      </c>
      <c r="H269" s="35" t="s">
        <v>1629</v>
      </c>
      <c r="I269" s="40"/>
      <c r="J269" s="40" t="str">
        <f t="array" ref="J269">IF($I269="","",IFERROR(INDEX(Legend!$C$41:$C$45,MATCH($I269,Legend!$B$41:$B$45,0)),""))</f>
        <v/>
      </c>
      <c r="K269" s="23"/>
    </row>
    <row r="270" ht="15.75" customHeight="1">
      <c r="A270" s="21">
        <v>266.0</v>
      </c>
      <c r="B270" s="23" t="s">
        <v>1600</v>
      </c>
      <c r="C270" s="23" t="s">
        <v>1601</v>
      </c>
      <c r="D270" s="23" t="s">
        <v>1632</v>
      </c>
      <c r="E270" s="25" t="s">
        <v>42</v>
      </c>
      <c r="F270" s="32" t="s">
        <v>34</v>
      </c>
      <c r="G270" s="62" t="s">
        <v>49</v>
      </c>
      <c r="H270" s="35" t="s">
        <v>1633</v>
      </c>
      <c r="I270" s="40"/>
      <c r="J270" s="40" t="str">
        <f t="array" ref="J270">IF($I270="","",IFERROR(INDEX(Legend!$C$41:$C$45,MATCH($I270,Legend!$B$41:$B$45,0)),""))</f>
        <v/>
      </c>
      <c r="K270" s="23"/>
    </row>
    <row r="271" ht="15.75" customHeight="1">
      <c r="A271" s="21">
        <v>267.0</v>
      </c>
      <c r="B271" s="23" t="s">
        <v>1600</v>
      </c>
      <c r="C271" s="23" t="s">
        <v>1601</v>
      </c>
      <c r="D271" s="23" t="s">
        <v>1636</v>
      </c>
      <c r="E271" s="25" t="s">
        <v>42</v>
      </c>
      <c r="F271" s="32" t="s">
        <v>34</v>
      </c>
      <c r="G271" s="62" t="s">
        <v>49</v>
      </c>
      <c r="H271" s="35" t="s">
        <v>1637</v>
      </c>
      <c r="I271" s="40"/>
      <c r="J271" s="40" t="str">
        <f t="array" ref="J271">IF($I271="","",IFERROR(INDEX(Legend!$C$41:$C$45,MATCH($I271,Legend!$B$41:$B$45,0)),""))</f>
        <v/>
      </c>
      <c r="K271" s="23"/>
    </row>
    <row r="272" ht="15.75" customHeight="1">
      <c r="A272" s="21">
        <v>268.0</v>
      </c>
      <c r="B272" s="23" t="s">
        <v>1600</v>
      </c>
      <c r="C272" s="23" t="s">
        <v>1601</v>
      </c>
      <c r="D272" s="23" t="s">
        <v>1643</v>
      </c>
      <c r="E272" s="25" t="s">
        <v>42</v>
      </c>
      <c r="F272" s="32" t="s">
        <v>34</v>
      </c>
      <c r="G272" s="33" t="s">
        <v>50</v>
      </c>
      <c r="H272" s="35" t="s">
        <v>1644</v>
      </c>
      <c r="I272" s="40"/>
      <c r="J272" s="40" t="str">
        <f t="array" ref="J272">IF($I272="","",IFERROR(INDEX(Legend!$C$41:$C$45,MATCH($I272,Legend!$B$41:$B$45,0)),""))</f>
        <v/>
      </c>
      <c r="K272" s="23"/>
    </row>
    <row r="273" ht="15.75" customHeight="1">
      <c r="A273" s="21">
        <v>269.0</v>
      </c>
      <c r="B273" s="23" t="s">
        <v>1600</v>
      </c>
      <c r="C273" s="23" t="s">
        <v>1601</v>
      </c>
      <c r="D273" s="23" t="s">
        <v>1649</v>
      </c>
      <c r="E273" s="25" t="s">
        <v>42</v>
      </c>
      <c r="F273" s="29" t="s">
        <v>46</v>
      </c>
      <c r="G273" s="30" t="s">
        <v>47</v>
      </c>
      <c r="H273" s="35" t="s">
        <v>1650</v>
      </c>
      <c r="I273" s="40"/>
      <c r="J273" s="40" t="str">
        <f t="array" ref="J273">IF($I273="","",IFERROR(INDEX(Legend!$C$41:$C$45,MATCH($I273,Legend!$B$41:$B$45,0)),""))</f>
        <v/>
      </c>
      <c r="K273" s="23"/>
    </row>
    <row r="274" ht="15.75" customHeight="1">
      <c r="A274" s="21">
        <v>270.0</v>
      </c>
      <c r="B274" s="23" t="s">
        <v>1600</v>
      </c>
      <c r="C274" s="23" t="s">
        <v>1601</v>
      </c>
      <c r="D274" s="23" t="s">
        <v>1652</v>
      </c>
      <c r="E274" s="25" t="s">
        <v>42</v>
      </c>
      <c r="F274" s="32" t="s">
        <v>34</v>
      </c>
      <c r="G274" s="33" t="s">
        <v>50</v>
      </c>
      <c r="H274" s="35" t="s">
        <v>1653</v>
      </c>
      <c r="I274" s="40"/>
      <c r="J274" s="40" t="str">
        <f t="array" ref="J274">IF($I274="","",IFERROR(INDEX(Legend!$C$41:$C$45,MATCH($I274,Legend!$B$41:$B$45,0)),""))</f>
        <v/>
      </c>
      <c r="K274" s="23"/>
    </row>
    <row r="275" ht="15.75" customHeight="1">
      <c r="A275" s="21">
        <v>271.0</v>
      </c>
      <c r="B275" s="23" t="s">
        <v>1600</v>
      </c>
      <c r="C275" s="23" t="s">
        <v>1601</v>
      </c>
      <c r="D275" s="23" t="s">
        <v>1656</v>
      </c>
      <c r="E275" s="25" t="s">
        <v>42</v>
      </c>
      <c r="F275" s="32" t="s">
        <v>34</v>
      </c>
      <c r="G275" s="33" t="s">
        <v>50</v>
      </c>
      <c r="H275" s="35" t="s">
        <v>1657</v>
      </c>
      <c r="I275" s="40"/>
      <c r="J275" s="40" t="str">
        <f t="array" ref="J275">IF($I275="","",IFERROR(INDEX(Legend!$C$41:$C$45,MATCH($I275,Legend!$B$41:$B$45,0)),""))</f>
        <v/>
      </c>
      <c r="K275" s="23"/>
    </row>
    <row r="276" ht="15.75" customHeight="1">
      <c r="A276" s="21">
        <v>272.0</v>
      </c>
      <c r="B276" s="23" t="s">
        <v>1600</v>
      </c>
      <c r="C276" s="23" t="s">
        <v>1601</v>
      </c>
      <c r="D276" s="23" t="s">
        <v>1661</v>
      </c>
      <c r="E276" s="63" t="s">
        <v>33</v>
      </c>
      <c r="F276" s="32" t="s">
        <v>34</v>
      </c>
      <c r="G276" s="33" t="s">
        <v>50</v>
      </c>
      <c r="H276" s="35" t="s">
        <v>1662</v>
      </c>
      <c r="I276" s="40"/>
      <c r="J276" s="40" t="str">
        <f t="array" ref="J276">IF($I276="","",IFERROR(INDEX(Legend!$C$41:$C$45,MATCH($I276,Legend!$B$41:$B$45,0)),""))</f>
        <v/>
      </c>
      <c r="K276" s="23"/>
    </row>
    <row r="277" ht="15.75" customHeight="1">
      <c r="A277" s="21">
        <v>273.0</v>
      </c>
      <c r="B277" s="23" t="s">
        <v>1600</v>
      </c>
      <c r="C277" s="23" t="s">
        <v>1601</v>
      </c>
      <c r="D277" s="23" t="s">
        <v>1666</v>
      </c>
      <c r="E277" s="25" t="s">
        <v>42</v>
      </c>
      <c r="F277" s="32" t="s">
        <v>34</v>
      </c>
      <c r="G277" s="62" t="s">
        <v>49</v>
      </c>
      <c r="H277" s="35" t="s">
        <v>1667</v>
      </c>
      <c r="I277" s="40"/>
      <c r="J277" s="40" t="str">
        <f t="array" ref="J277">IF($I277="","",IFERROR(INDEX(Legend!$C$41:$C$45,MATCH($I277,Legend!$B$41:$B$45,0)),""))</f>
        <v/>
      </c>
      <c r="K277" s="23"/>
    </row>
    <row r="278" ht="15.75" customHeight="1">
      <c r="A278" s="21">
        <v>274.0</v>
      </c>
      <c r="B278" s="23" t="s">
        <v>1600</v>
      </c>
      <c r="C278" s="23" t="s">
        <v>1601</v>
      </c>
      <c r="D278" s="23" t="s">
        <v>1669</v>
      </c>
      <c r="E278" s="25" t="s">
        <v>42</v>
      </c>
      <c r="F278" s="32" t="s">
        <v>34</v>
      </c>
      <c r="G278" s="33" t="s">
        <v>50</v>
      </c>
      <c r="H278" s="35" t="s">
        <v>1670</v>
      </c>
      <c r="I278" s="40"/>
      <c r="J278" s="40" t="str">
        <f t="array" ref="J278">IF($I278="","",IFERROR(INDEX(Legend!$C$41:$C$45,MATCH($I278,Legend!$B$41:$B$45,0)),""))</f>
        <v/>
      </c>
      <c r="K278" s="23"/>
    </row>
    <row r="279" ht="15.75" customHeight="1">
      <c r="A279" s="21">
        <v>275.0</v>
      </c>
      <c r="B279" s="23" t="s">
        <v>1600</v>
      </c>
      <c r="C279" s="23" t="s">
        <v>1601</v>
      </c>
      <c r="D279" s="23" t="s">
        <v>1674</v>
      </c>
      <c r="E279" s="25" t="s">
        <v>42</v>
      </c>
      <c r="F279" s="29" t="s">
        <v>46</v>
      </c>
      <c r="G279" s="30" t="s">
        <v>47</v>
      </c>
      <c r="H279" s="35" t="s">
        <v>1677</v>
      </c>
      <c r="I279" s="40"/>
      <c r="J279" s="40" t="str">
        <f t="array" ref="J279">IF($I279="","",IFERROR(INDEX(Legend!$C$41:$C$45,MATCH($I279,Legend!$B$41:$B$45,0)),""))</f>
        <v/>
      </c>
      <c r="K279" s="23"/>
    </row>
    <row r="280" ht="15.75" customHeight="1">
      <c r="A280" s="21">
        <v>276.0</v>
      </c>
      <c r="B280" s="23" t="s">
        <v>1600</v>
      </c>
      <c r="C280" s="23" t="s">
        <v>1601</v>
      </c>
      <c r="D280" s="23" t="s">
        <v>1680</v>
      </c>
      <c r="E280" s="25" t="s">
        <v>42</v>
      </c>
      <c r="F280" s="32" t="s">
        <v>34</v>
      </c>
      <c r="G280" s="33" t="s">
        <v>50</v>
      </c>
      <c r="H280" s="35" t="s">
        <v>1681</v>
      </c>
      <c r="I280" s="40"/>
      <c r="J280" s="40" t="str">
        <f t="array" ref="J280">IF($I280="","",IFERROR(INDEX(Legend!$C$41:$C$45,MATCH($I280,Legend!$B$41:$B$45,0)),""))</f>
        <v/>
      </c>
      <c r="K280" s="23"/>
    </row>
    <row r="281" ht="15.75" customHeight="1">
      <c r="A281" s="21">
        <v>277.0</v>
      </c>
      <c r="B281" s="23" t="s">
        <v>1600</v>
      </c>
      <c r="C281" s="23" t="s">
        <v>1601</v>
      </c>
      <c r="D281" s="23" t="s">
        <v>1686</v>
      </c>
      <c r="E281" s="25" t="s">
        <v>42</v>
      </c>
      <c r="F281" s="32" t="s">
        <v>34</v>
      </c>
      <c r="G281" s="33" t="s">
        <v>50</v>
      </c>
      <c r="H281" s="35" t="s">
        <v>1687</v>
      </c>
      <c r="I281" s="40"/>
      <c r="J281" s="40" t="str">
        <f t="array" ref="J281">IF($I281="","",IFERROR(INDEX(Legend!$C$41:$C$45,MATCH($I281,Legend!$B$41:$B$45,0)),""))</f>
        <v/>
      </c>
      <c r="K281" s="23"/>
    </row>
    <row r="282" ht="15.75" customHeight="1">
      <c r="A282" s="21">
        <v>278.0</v>
      </c>
      <c r="B282" s="23" t="s">
        <v>1600</v>
      </c>
      <c r="C282" s="23" t="s">
        <v>1601</v>
      </c>
      <c r="D282" s="23" t="s">
        <v>1689</v>
      </c>
      <c r="E282" s="26" t="s">
        <v>43</v>
      </c>
      <c r="F282" s="29" t="s">
        <v>46</v>
      </c>
      <c r="G282" s="30" t="s">
        <v>47</v>
      </c>
      <c r="H282" s="35" t="s">
        <v>1690</v>
      </c>
      <c r="I282" s="40"/>
      <c r="J282" s="40" t="str">
        <f t="array" ref="J282">IF($I282="","",IFERROR(INDEX(Legend!$C$41:$C$45,MATCH($I282,Legend!$B$41:$B$45,0)),""))</f>
        <v/>
      </c>
      <c r="K282" s="23"/>
    </row>
    <row r="283" ht="15.75" customHeight="1">
      <c r="A283" s="21">
        <v>279.0</v>
      </c>
      <c r="B283" s="23" t="s">
        <v>1600</v>
      </c>
      <c r="C283" s="23" t="s">
        <v>1601</v>
      </c>
      <c r="D283" s="23" t="s">
        <v>1694</v>
      </c>
      <c r="E283" s="25" t="s">
        <v>42</v>
      </c>
      <c r="F283" s="29" t="s">
        <v>46</v>
      </c>
      <c r="G283" s="30" t="s">
        <v>47</v>
      </c>
      <c r="H283" s="35" t="s">
        <v>1695</v>
      </c>
      <c r="I283" s="40"/>
      <c r="J283" s="40" t="str">
        <f t="array" ref="J283">IF($I283="","",IFERROR(INDEX(Legend!$C$41:$C$45,MATCH($I283,Legend!$B$41:$B$45,0)),""))</f>
        <v/>
      </c>
      <c r="K283" s="23"/>
    </row>
    <row r="284" ht="15.75" customHeight="1">
      <c r="A284" s="21">
        <v>280.0</v>
      </c>
      <c r="B284" s="23" t="s">
        <v>1600</v>
      </c>
      <c r="C284" s="23" t="s">
        <v>1601</v>
      </c>
      <c r="D284" s="23" t="s">
        <v>1700</v>
      </c>
      <c r="E284" s="25" t="s">
        <v>42</v>
      </c>
      <c r="F284" s="29" t="s">
        <v>46</v>
      </c>
      <c r="G284" s="30" t="s">
        <v>47</v>
      </c>
      <c r="H284" s="35" t="s">
        <v>1701</v>
      </c>
      <c r="I284" s="40"/>
      <c r="J284" s="40" t="str">
        <f t="array" ref="J284">IF($I284="","",IFERROR(INDEX(Legend!$C$41:$C$45,MATCH($I284,Legend!$B$41:$B$45,0)),""))</f>
        <v/>
      </c>
      <c r="K284" s="23"/>
    </row>
    <row r="285" ht="15.75" customHeight="1">
      <c r="A285" s="21">
        <v>281.0</v>
      </c>
      <c r="B285" s="23" t="s">
        <v>1600</v>
      </c>
      <c r="C285" s="23" t="s">
        <v>1601</v>
      </c>
      <c r="D285" s="23" t="s">
        <v>1706</v>
      </c>
      <c r="E285" s="26" t="s">
        <v>43</v>
      </c>
      <c r="F285" s="26" t="s">
        <v>77</v>
      </c>
      <c r="G285" s="30" t="s">
        <v>47</v>
      </c>
      <c r="H285" s="35" t="s">
        <v>1707</v>
      </c>
      <c r="I285" s="40"/>
      <c r="J285" s="40" t="str">
        <f t="array" ref="J285">IF($I285="","",IFERROR(INDEX(Legend!$C$41:$C$45,MATCH($I285,Legend!$B$41:$B$45,0)),""))</f>
        <v/>
      </c>
      <c r="K285" s="23"/>
    </row>
    <row r="286" ht="15.75" customHeight="1">
      <c r="A286" s="21">
        <v>282.0</v>
      </c>
      <c r="B286" s="23" t="s">
        <v>1711</v>
      </c>
      <c r="C286" s="23" t="s">
        <v>1712</v>
      </c>
      <c r="D286" s="23" t="s">
        <v>1714</v>
      </c>
      <c r="E286" s="63" t="s">
        <v>33</v>
      </c>
      <c r="F286" s="32" t="s">
        <v>34</v>
      </c>
      <c r="G286" s="62" t="s">
        <v>49</v>
      </c>
      <c r="H286" s="35" t="s">
        <v>1715</v>
      </c>
      <c r="I286" s="40"/>
      <c r="J286" s="40" t="str">
        <f t="array" ref="J286">IF($I286="","",IFERROR(INDEX(Legend!$C$41:$C$45,MATCH($I286,Legend!$B$41:$B$45,0)),""))</f>
        <v/>
      </c>
      <c r="K286" s="23"/>
    </row>
    <row r="287" ht="15.75" customHeight="1">
      <c r="A287" s="21">
        <v>283.0</v>
      </c>
      <c r="B287" s="23" t="s">
        <v>1711</v>
      </c>
      <c r="C287" s="23" t="s">
        <v>1712</v>
      </c>
      <c r="D287" s="23" t="s">
        <v>1718</v>
      </c>
      <c r="E287" s="63" t="s">
        <v>33</v>
      </c>
      <c r="F287" s="32" t="s">
        <v>34</v>
      </c>
      <c r="G287" s="62" t="s">
        <v>49</v>
      </c>
      <c r="H287" s="35" t="s">
        <v>1719</v>
      </c>
      <c r="I287" s="40"/>
      <c r="J287" s="40" t="str">
        <f t="array" ref="J287">IF($I287="","",IFERROR(INDEX(Legend!$C$41:$C$45,MATCH($I287,Legend!$B$41:$B$45,0)),""))</f>
        <v/>
      </c>
      <c r="K287" s="23"/>
    </row>
    <row r="288" ht="15.75" customHeight="1">
      <c r="A288" s="21">
        <v>284.0</v>
      </c>
      <c r="B288" s="23" t="s">
        <v>1711</v>
      </c>
      <c r="C288" s="23" t="s">
        <v>1712</v>
      </c>
      <c r="D288" s="23" t="s">
        <v>1725</v>
      </c>
      <c r="E288" s="63" t="s">
        <v>33</v>
      </c>
      <c r="F288" s="32" t="s">
        <v>34</v>
      </c>
      <c r="G288" s="62" t="s">
        <v>49</v>
      </c>
      <c r="H288" s="35" t="s">
        <v>1726</v>
      </c>
      <c r="I288" s="40"/>
      <c r="J288" s="40" t="str">
        <f t="array" ref="J288">IF($I288="","",IFERROR(INDEX(Legend!$C$41:$C$45,MATCH($I288,Legend!$B$41:$B$45,0)),""))</f>
        <v/>
      </c>
      <c r="K288" s="23"/>
    </row>
    <row r="289" ht="15.75" customHeight="1">
      <c r="A289" s="21">
        <v>285.0</v>
      </c>
      <c r="B289" s="23" t="s">
        <v>1711</v>
      </c>
      <c r="C289" s="23" t="s">
        <v>1712</v>
      </c>
      <c r="D289" s="23" t="s">
        <v>1730</v>
      </c>
      <c r="E289" s="25" t="s">
        <v>42</v>
      </c>
      <c r="F289" s="32" t="s">
        <v>34</v>
      </c>
      <c r="G289" s="62" t="s">
        <v>49</v>
      </c>
      <c r="H289" s="35" t="s">
        <v>1731</v>
      </c>
      <c r="I289" s="40"/>
      <c r="J289" s="40" t="str">
        <f t="array" ref="J289">IF($I289="","",IFERROR(INDEX(Legend!$C$41:$C$45,MATCH($I289,Legend!$B$41:$B$45,0)),""))</f>
        <v/>
      </c>
      <c r="K289" s="23"/>
    </row>
    <row r="290" ht="15.75" customHeight="1">
      <c r="A290" s="21">
        <v>286.0</v>
      </c>
      <c r="B290" s="23" t="s">
        <v>1711</v>
      </c>
      <c r="C290" s="23" t="s">
        <v>1712</v>
      </c>
      <c r="D290" s="23" t="s">
        <v>1733</v>
      </c>
      <c r="E290" s="25" t="s">
        <v>42</v>
      </c>
      <c r="F290" s="32" t="s">
        <v>34</v>
      </c>
      <c r="G290" s="62" t="s">
        <v>49</v>
      </c>
      <c r="H290" s="35" t="s">
        <v>1736</v>
      </c>
      <c r="I290" s="40"/>
      <c r="J290" s="40" t="str">
        <f t="array" ref="J290">IF($I290="","",IFERROR(INDEX(Legend!$C$41:$C$45,MATCH($I290,Legend!$B$41:$B$45,0)),""))</f>
        <v/>
      </c>
      <c r="K290" s="23"/>
    </row>
    <row r="291" ht="15.75" customHeight="1">
      <c r="A291" s="21">
        <v>287.0</v>
      </c>
      <c r="B291" s="23" t="s">
        <v>1711</v>
      </c>
      <c r="C291" s="23" t="s">
        <v>1712</v>
      </c>
      <c r="D291" s="23" t="s">
        <v>1738</v>
      </c>
      <c r="E291" s="25" t="s">
        <v>42</v>
      </c>
      <c r="F291" s="26" t="s">
        <v>77</v>
      </c>
      <c r="G291" s="62" t="s">
        <v>49</v>
      </c>
      <c r="H291" s="35" t="s">
        <v>1739</v>
      </c>
      <c r="I291" s="40"/>
      <c r="J291" s="40" t="str">
        <f t="array" ref="J291">IF($I291="","",IFERROR(INDEX(Legend!$C$41:$C$45,MATCH($I291,Legend!$B$41:$B$45,0)),""))</f>
        <v/>
      </c>
      <c r="K291" s="23"/>
    </row>
    <row r="292" ht="15.75" customHeight="1">
      <c r="A292" s="21">
        <v>288.0</v>
      </c>
      <c r="B292" s="23" t="s">
        <v>1711</v>
      </c>
      <c r="C292" s="23" t="s">
        <v>1712</v>
      </c>
      <c r="D292" s="23" t="s">
        <v>1744</v>
      </c>
      <c r="E292" s="25" t="s">
        <v>42</v>
      </c>
      <c r="F292" s="26" t="s">
        <v>77</v>
      </c>
      <c r="G292" s="62" t="s">
        <v>49</v>
      </c>
      <c r="H292" s="35" t="s">
        <v>1745</v>
      </c>
      <c r="I292" s="40"/>
      <c r="J292" s="40" t="str">
        <f t="array" ref="J292">IF($I292="","",IFERROR(INDEX(Legend!$C$41:$C$45,MATCH($I292,Legend!$B$41:$B$45,0)),""))</f>
        <v/>
      </c>
      <c r="K292" s="23"/>
    </row>
    <row r="293" ht="15.75" customHeight="1">
      <c r="A293" s="21">
        <v>289.0</v>
      </c>
      <c r="B293" s="23" t="s">
        <v>1711</v>
      </c>
      <c r="C293" s="23" t="s">
        <v>1712</v>
      </c>
      <c r="D293" s="23" t="s">
        <v>1749</v>
      </c>
      <c r="E293" s="25" t="s">
        <v>42</v>
      </c>
      <c r="F293" s="26" t="s">
        <v>77</v>
      </c>
      <c r="G293" s="62" t="s">
        <v>49</v>
      </c>
      <c r="H293" s="35" t="s">
        <v>1750</v>
      </c>
      <c r="I293" s="40"/>
      <c r="J293" s="40" t="str">
        <f t="array" ref="J293">IF($I293="","",IFERROR(INDEX(Legend!$C$41:$C$45,MATCH($I293,Legend!$B$41:$B$45,0)),""))</f>
        <v/>
      </c>
      <c r="K293" s="23"/>
    </row>
    <row r="294" ht="15.75" customHeight="1">
      <c r="A294" s="21">
        <v>290.0</v>
      </c>
      <c r="B294" s="23" t="s">
        <v>1711</v>
      </c>
      <c r="C294" s="23" t="s">
        <v>1712</v>
      </c>
      <c r="D294" s="23" t="s">
        <v>225</v>
      </c>
      <c r="E294" s="25" t="s">
        <v>42</v>
      </c>
      <c r="F294" s="32" t="s">
        <v>34</v>
      </c>
      <c r="G294" s="62" t="s">
        <v>49</v>
      </c>
      <c r="H294" s="35" t="s">
        <v>1754</v>
      </c>
      <c r="I294" s="40"/>
      <c r="J294" s="40" t="str">
        <f t="array" ref="J294">IF($I294="","",IFERROR(INDEX(Legend!$C$41:$C$45,MATCH($I294,Legend!$B$41:$B$45,0)),""))</f>
        <v/>
      </c>
      <c r="K294" s="23"/>
    </row>
    <row r="295" ht="15.75" customHeight="1">
      <c r="A295" s="21">
        <v>291.0</v>
      </c>
      <c r="B295" s="23" t="s">
        <v>1711</v>
      </c>
      <c r="C295" s="23" t="s">
        <v>1712</v>
      </c>
      <c r="D295" s="23" t="s">
        <v>1755</v>
      </c>
      <c r="E295" s="25" t="s">
        <v>42</v>
      </c>
      <c r="F295" s="32" t="s">
        <v>34</v>
      </c>
      <c r="G295" s="62" t="s">
        <v>49</v>
      </c>
      <c r="H295" s="35" t="s">
        <v>1756</v>
      </c>
      <c r="I295" s="40"/>
      <c r="J295" s="40" t="str">
        <f t="array" ref="J295">IF($I295="","",IFERROR(INDEX(Legend!$C$41:$C$45,MATCH($I295,Legend!$B$41:$B$45,0)),""))</f>
        <v/>
      </c>
      <c r="K295" s="23"/>
    </row>
    <row r="296" ht="15.75" customHeight="1">
      <c r="A296" s="21">
        <v>292.0</v>
      </c>
      <c r="B296" s="23" t="s">
        <v>1711</v>
      </c>
      <c r="C296" s="23" t="s">
        <v>1712</v>
      </c>
      <c r="D296" s="23" t="s">
        <v>1760</v>
      </c>
      <c r="E296" s="25" t="s">
        <v>42</v>
      </c>
      <c r="F296" s="32" t="s">
        <v>34</v>
      </c>
      <c r="G296" s="62" t="s">
        <v>49</v>
      </c>
      <c r="H296" s="35" t="s">
        <v>1763</v>
      </c>
      <c r="I296" s="40"/>
      <c r="J296" s="40" t="str">
        <f t="array" ref="J296">IF($I296="","",IFERROR(INDEX(Legend!$C$41:$C$45,MATCH($I296,Legend!$B$41:$B$45,0)),""))</f>
        <v/>
      </c>
      <c r="K296" s="23"/>
    </row>
    <row r="297" ht="15.75" customHeight="1">
      <c r="A297" s="21">
        <v>293.0</v>
      </c>
      <c r="B297" s="23" t="s">
        <v>1711</v>
      </c>
      <c r="C297" s="23" t="s">
        <v>1712</v>
      </c>
      <c r="D297" s="23" t="s">
        <v>1765</v>
      </c>
      <c r="E297" s="25" t="s">
        <v>42</v>
      </c>
      <c r="F297" s="32" t="s">
        <v>34</v>
      </c>
      <c r="G297" s="33" t="s">
        <v>50</v>
      </c>
      <c r="H297" s="35" t="s">
        <v>1767</v>
      </c>
      <c r="I297" s="40"/>
      <c r="J297" s="40" t="str">
        <f t="array" ref="J297">IF($I297="","",IFERROR(INDEX(Legend!$C$41:$C$45,MATCH($I297,Legend!$B$41:$B$45,0)),""))</f>
        <v/>
      </c>
      <c r="K297" s="23"/>
    </row>
    <row r="298" ht="15.75" customHeight="1">
      <c r="A298" s="21">
        <v>294.0</v>
      </c>
      <c r="B298" s="23" t="s">
        <v>1711</v>
      </c>
      <c r="C298" s="23" t="s">
        <v>1712</v>
      </c>
      <c r="D298" s="23" t="s">
        <v>1770</v>
      </c>
      <c r="E298" s="25" t="s">
        <v>42</v>
      </c>
      <c r="F298" s="32" t="s">
        <v>34</v>
      </c>
      <c r="G298" s="62" t="s">
        <v>49</v>
      </c>
      <c r="H298" s="35" t="s">
        <v>1771</v>
      </c>
      <c r="I298" s="40"/>
      <c r="J298" s="40" t="str">
        <f t="array" ref="J298">IF($I298="","",IFERROR(INDEX(Legend!$C$41:$C$45,MATCH($I298,Legend!$B$41:$B$45,0)),""))</f>
        <v/>
      </c>
      <c r="K298" s="23"/>
    </row>
    <row r="299" ht="15.75" customHeight="1">
      <c r="A299" s="21">
        <v>295.0</v>
      </c>
      <c r="B299" s="23" t="s">
        <v>1711</v>
      </c>
      <c r="C299" s="23" t="s">
        <v>1712</v>
      </c>
      <c r="D299" s="23" t="s">
        <v>1774</v>
      </c>
      <c r="E299" s="25" t="s">
        <v>42</v>
      </c>
      <c r="F299" s="32" t="s">
        <v>34</v>
      </c>
      <c r="G299" s="62" t="s">
        <v>49</v>
      </c>
      <c r="H299" s="35" t="s">
        <v>1775</v>
      </c>
      <c r="I299" s="40"/>
      <c r="J299" s="40" t="str">
        <f t="array" ref="J299">IF($I299="","",IFERROR(INDEX(Legend!$C$41:$C$45,MATCH($I299,Legend!$B$41:$B$45,0)),""))</f>
        <v/>
      </c>
      <c r="K299" s="23"/>
    </row>
    <row r="300" ht="15.75" customHeight="1">
      <c r="A300" s="21">
        <v>296.0</v>
      </c>
      <c r="B300" s="23" t="s">
        <v>1711</v>
      </c>
      <c r="C300" s="23" t="s">
        <v>1712</v>
      </c>
      <c r="D300" s="23" t="s">
        <v>1781</v>
      </c>
      <c r="E300" s="25" t="s">
        <v>42</v>
      </c>
      <c r="F300" s="32" t="s">
        <v>34</v>
      </c>
      <c r="G300" s="62" t="s">
        <v>49</v>
      </c>
      <c r="H300" s="35" t="s">
        <v>1782</v>
      </c>
      <c r="I300" s="40"/>
      <c r="J300" s="40" t="str">
        <f t="array" ref="J300">IF($I300="","",IFERROR(INDEX(Legend!$C$41:$C$45,MATCH($I300,Legend!$B$41:$B$45,0)),""))</f>
        <v/>
      </c>
      <c r="K300" s="23"/>
    </row>
    <row r="301" ht="15.75" customHeight="1">
      <c r="A301" s="21">
        <v>297.0</v>
      </c>
      <c r="B301" s="23" t="s">
        <v>1711</v>
      </c>
      <c r="C301" s="23" t="s">
        <v>1712</v>
      </c>
      <c r="D301" s="23" t="s">
        <v>1785</v>
      </c>
      <c r="E301" s="25" t="s">
        <v>42</v>
      </c>
      <c r="F301" s="32" t="s">
        <v>34</v>
      </c>
      <c r="G301" s="62" t="s">
        <v>49</v>
      </c>
      <c r="H301" s="35" t="s">
        <v>1786</v>
      </c>
      <c r="I301" s="40"/>
      <c r="J301" s="40" t="str">
        <f t="array" ref="J301">IF($I301="","",IFERROR(INDEX(Legend!$C$41:$C$45,MATCH($I301,Legend!$B$41:$B$45,0)),""))</f>
        <v/>
      </c>
      <c r="K301" s="23"/>
    </row>
    <row r="302" ht="15.75" customHeight="1">
      <c r="A302" s="21">
        <v>298.0</v>
      </c>
      <c r="B302" s="23" t="s">
        <v>1711</v>
      </c>
      <c r="C302" s="23" t="s">
        <v>1712</v>
      </c>
      <c r="D302" s="23" t="s">
        <v>1791</v>
      </c>
      <c r="E302" s="25" t="s">
        <v>42</v>
      </c>
      <c r="F302" s="32" t="s">
        <v>34</v>
      </c>
      <c r="G302" s="33" t="s">
        <v>50</v>
      </c>
      <c r="H302" s="35" t="s">
        <v>1792</v>
      </c>
      <c r="I302" s="40"/>
      <c r="J302" s="40" t="str">
        <f t="array" ref="J302">IF($I302="","",IFERROR(INDEX(Legend!$C$41:$C$45,MATCH($I302,Legend!$B$41:$B$45,0)),""))</f>
        <v/>
      </c>
      <c r="K302" s="23"/>
    </row>
    <row r="303" ht="15.75" customHeight="1">
      <c r="A303" s="21">
        <v>299.0</v>
      </c>
      <c r="B303" s="23" t="s">
        <v>1711</v>
      </c>
      <c r="C303" s="23" t="s">
        <v>1712</v>
      </c>
      <c r="D303" s="23" t="s">
        <v>1797</v>
      </c>
      <c r="E303" s="25" t="s">
        <v>42</v>
      </c>
      <c r="F303" s="32" t="s">
        <v>34</v>
      </c>
      <c r="G303" s="62" t="s">
        <v>49</v>
      </c>
      <c r="H303" s="35" t="s">
        <v>1798</v>
      </c>
      <c r="I303" s="40"/>
      <c r="J303" s="40" t="str">
        <f t="array" ref="J303">IF($I303="","",IFERROR(INDEX(Legend!$C$41:$C$45,MATCH($I303,Legend!$B$41:$B$45,0)),""))</f>
        <v/>
      </c>
      <c r="K303" s="23"/>
    </row>
    <row r="304" ht="15.75" customHeight="1">
      <c r="A304" s="21">
        <v>300.0</v>
      </c>
      <c r="B304" s="23" t="s">
        <v>1711</v>
      </c>
      <c r="C304" s="23" t="s">
        <v>1712</v>
      </c>
      <c r="D304" s="23" t="s">
        <v>1803</v>
      </c>
      <c r="E304" s="25" t="s">
        <v>42</v>
      </c>
      <c r="F304" s="29" t="s">
        <v>46</v>
      </c>
      <c r="G304" s="33" t="s">
        <v>50</v>
      </c>
      <c r="H304" s="35" t="s">
        <v>1804</v>
      </c>
      <c r="I304" s="40"/>
      <c r="J304" s="40" t="str">
        <f t="array" ref="J304">IF($I304="","",IFERROR(INDEX(Legend!$C$41:$C$45,MATCH($I304,Legend!$B$41:$B$45,0)),""))</f>
        <v/>
      </c>
      <c r="K304" s="23"/>
    </row>
    <row r="305" ht="15.75" customHeight="1">
      <c r="A305" s="21">
        <v>301.0</v>
      </c>
      <c r="B305" s="23" t="s">
        <v>1711</v>
      </c>
      <c r="C305" s="23" t="s">
        <v>1712</v>
      </c>
      <c r="D305" s="23" t="s">
        <v>1809</v>
      </c>
      <c r="E305" s="25" t="s">
        <v>42</v>
      </c>
      <c r="F305" s="29" t="s">
        <v>46</v>
      </c>
      <c r="G305" s="33" t="s">
        <v>50</v>
      </c>
      <c r="H305" s="35" t="s">
        <v>1810</v>
      </c>
      <c r="I305" s="40"/>
      <c r="J305" s="40" t="str">
        <f t="array" ref="J305">IF($I305="","",IFERROR(INDEX(Legend!$C$41:$C$45,MATCH($I305,Legend!$B$41:$B$45,0)),""))</f>
        <v/>
      </c>
      <c r="K305" s="23"/>
    </row>
    <row r="306" ht="15.75" customHeight="1">
      <c r="A306" s="21">
        <v>302.0</v>
      </c>
      <c r="B306" s="23" t="s">
        <v>1711</v>
      </c>
      <c r="C306" s="23" t="s">
        <v>1712</v>
      </c>
      <c r="D306" s="23" t="s">
        <v>1813</v>
      </c>
      <c r="E306" s="25" t="s">
        <v>42</v>
      </c>
      <c r="F306" s="32" t="s">
        <v>34</v>
      </c>
      <c r="G306" s="33" t="s">
        <v>50</v>
      </c>
      <c r="H306" s="35" t="s">
        <v>1814</v>
      </c>
      <c r="I306" s="40"/>
      <c r="J306" s="40" t="str">
        <f t="array" ref="J306">IF($I306="","",IFERROR(INDEX(Legend!$C$41:$C$45,MATCH($I306,Legend!$B$41:$B$45,0)),""))</f>
        <v/>
      </c>
      <c r="K306" s="23"/>
    </row>
    <row r="307" ht="15.75" customHeight="1">
      <c r="A307" s="21">
        <v>303.0</v>
      </c>
      <c r="B307" s="23" t="s">
        <v>1711</v>
      </c>
      <c r="C307" s="23" t="s">
        <v>1712</v>
      </c>
      <c r="D307" s="23" t="s">
        <v>1817</v>
      </c>
      <c r="E307" s="26" t="s">
        <v>43</v>
      </c>
      <c r="F307" s="26" t="s">
        <v>77</v>
      </c>
      <c r="G307" s="30" t="s">
        <v>47</v>
      </c>
      <c r="H307" s="35" t="s">
        <v>1818</v>
      </c>
      <c r="I307" s="40"/>
      <c r="J307" s="40" t="str">
        <f t="array" ref="J307">IF($I307="","",IFERROR(INDEX(Legend!$C$41:$C$45,MATCH($I307,Legend!$B$41:$B$45,0)),""))</f>
        <v/>
      </c>
      <c r="K307" s="23"/>
    </row>
    <row r="308" ht="15.75" customHeight="1">
      <c r="A308" s="21">
        <v>304.0</v>
      </c>
      <c r="B308" s="23" t="s">
        <v>1711</v>
      </c>
      <c r="C308" s="23" t="s">
        <v>1712</v>
      </c>
      <c r="D308" s="23" t="s">
        <v>1820</v>
      </c>
      <c r="E308" s="26" t="s">
        <v>43</v>
      </c>
      <c r="F308" s="26" t="s">
        <v>77</v>
      </c>
      <c r="G308" s="30" t="s">
        <v>47</v>
      </c>
      <c r="H308" s="35" t="s">
        <v>1823</v>
      </c>
      <c r="I308" s="40"/>
      <c r="J308" s="40" t="str">
        <f t="array" ref="J308">IF($I308="","",IFERROR(INDEX(Legend!$C$41:$C$45,MATCH($I308,Legend!$B$41:$B$45,0)),""))</f>
        <v/>
      </c>
      <c r="K308" s="23"/>
    </row>
    <row r="309" ht="15.75" customHeight="1">
      <c r="A309" s="21">
        <v>305.0</v>
      </c>
      <c r="B309" s="23" t="s">
        <v>1711</v>
      </c>
      <c r="C309" s="23" t="s">
        <v>1712</v>
      </c>
      <c r="D309" s="23" t="s">
        <v>1826</v>
      </c>
      <c r="E309" s="26" t="s">
        <v>43</v>
      </c>
      <c r="F309" s="26" t="s">
        <v>77</v>
      </c>
      <c r="G309" s="30" t="s">
        <v>47</v>
      </c>
      <c r="H309" s="35" t="s">
        <v>1827</v>
      </c>
      <c r="I309" s="40"/>
      <c r="J309" s="40" t="str">
        <f t="array" ref="J309">IF($I309="","",IFERROR(INDEX(Legend!$C$41:$C$45,MATCH($I309,Legend!$B$41:$B$45,0)),""))</f>
        <v/>
      </c>
      <c r="K309" s="23"/>
    </row>
    <row r="310" ht="15.75" customHeight="1">
      <c r="A310" s="21">
        <v>306.0</v>
      </c>
      <c r="B310" s="23" t="s">
        <v>1711</v>
      </c>
      <c r="C310" s="23" t="s">
        <v>1712</v>
      </c>
      <c r="D310" s="23" t="s">
        <v>1832</v>
      </c>
      <c r="E310" s="60" t="s">
        <v>56</v>
      </c>
      <c r="F310" s="26" t="s">
        <v>77</v>
      </c>
      <c r="G310" s="30" t="s">
        <v>47</v>
      </c>
      <c r="H310" s="35" t="s">
        <v>1833</v>
      </c>
      <c r="I310" s="40"/>
      <c r="J310" s="40" t="str">
        <f t="array" ref="J310">IF($I310="","",IFERROR(INDEX(Legend!$C$41:$C$45,MATCH($I310,Legend!$B$41:$B$45,0)),""))</f>
        <v/>
      </c>
      <c r="K310" s="2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310"/>
  <mergeCells count="5">
    <mergeCell ref="A1:K1"/>
    <mergeCell ref="A2:K2"/>
    <mergeCell ref="A3:B3"/>
    <mergeCell ref="E3:G3"/>
    <mergeCell ref="I3:J3"/>
  </mergeCells>
  <conditionalFormatting sqref="I5:I310">
    <cfRule type="cellIs" dxfId="0" priority="1" operator="equal">
      <formula>"Not started"</formula>
    </cfRule>
  </conditionalFormatting>
  <conditionalFormatting sqref="I5:I310">
    <cfRule type="cellIs" dxfId="1" priority="2" operator="equal">
      <formula>"Learning"</formula>
    </cfRule>
  </conditionalFormatting>
  <conditionalFormatting sqref="I5:I310">
    <cfRule type="cellIs" dxfId="2" priority="3" operator="equal">
      <formula>"Can build"</formula>
    </cfRule>
  </conditionalFormatting>
  <conditionalFormatting sqref="I5:I310">
    <cfRule type="cellIs" dxfId="3" priority="4" operator="equal">
      <formula>"Can debug"</formula>
    </cfRule>
  </conditionalFormatting>
  <conditionalFormatting sqref="I5:I310">
    <cfRule type="cellIs" dxfId="4" priority="5" operator="equal">
      <formula>"Solid"</formula>
    </cfRule>
  </conditionalFormatting>
  <conditionalFormatting sqref="J5:J310">
    <cfRule type="colorScale" priority="6">
      <colorScale>
        <cfvo type="formula" val="0"/>
        <cfvo type="formula" val="2"/>
        <cfvo type="formula" val="4"/>
        <color rgb="FFF8D7DA"/>
        <color rgb="FFFFF3CD"/>
        <color rgb="FFC9EAD5"/>
      </colorScale>
    </cfRule>
  </conditionalFormatting>
  <dataValidations>
    <dataValidation type="list" allowBlank="1" sqref="I5:I310">
      <formula1>"Not started,Learning,Can build,Can debug,Solid"</formula1>
    </dataValidation>
  </dataValidations>
  <hyperlinks>
    <hyperlink display="Legend" location="Legend!A1" ref="A3"/>
    <hyperlink display="Core 0–5" location="'Core Syllabus'!A1" ref="C3"/>
    <hyperlink display="Advanced" location="'Advanced Web'!A1" ref="D3"/>
    <hyperlink display="Drills" location="'Interview Drills'!A1" ref="H3"/>
    <hyperlink display="Courses" location="'Course Map'!A1" ref="I3"/>
    <hyperlink display="Dashboard" location="Dashboard!A1" ref="K3"/>
  </hyperlink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417A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3" width="30.0"/>
    <col customWidth="1" min="4" max="4" width="50.0"/>
    <col customWidth="1" min="5" max="5" width="8.0"/>
    <col customWidth="1" min="6" max="6" width="7.0"/>
    <col customWidth="1" min="7" max="7" width="9.0"/>
    <col customWidth="1" min="8" max="8" width="66.0"/>
    <col customWidth="1" min="9" max="9" width="14.0"/>
    <col customWidth="1" min="10" max="10" width="7.0"/>
    <col customWidth="1" min="11" max="11" width="30.0"/>
    <col customWidth="1" min="12" max="26" width="8.71"/>
  </cols>
  <sheetData>
    <row r="1" ht="33.75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5" t="s">
        <v>234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5.5" customHeight="1">
      <c r="A3" s="10" t="s">
        <v>9</v>
      </c>
      <c r="B3" s="9"/>
      <c r="C3" s="12" t="s">
        <v>10</v>
      </c>
      <c r="D3" s="12" t="s">
        <v>12</v>
      </c>
      <c r="E3" s="10" t="s">
        <v>13</v>
      </c>
      <c r="F3" s="15"/>
      <c r="G3" s="9"/>
      <c r="H3" s="6" t="s">
        <v>245</v>
      </c>
      <c r="I3" s="10" t="s">
        <v>17</v>
      </c>
      <c r="J3" s="9"/>
      <c r="K3" s="12" t="s">
        <v>18</v>
      </c>
    </row>
    <row r="4" ht="30.0" customHeight="1">
      <c r="A4" s="17" t="s">
        <v>19</v>
      </c>
      <c r="B4" s="17" t="s">
        <v>20</v>
      </c>
      <c r="C4" s="17" t="s">
        <v>21</v>
      </c>
      <c r="D4" s="17" t="s">
        <v>22</v>
      </c>
      <c r="E4" s="17" t="s">
        <v>23</v>
      </c>
      <c r="F4" s="17" t="s">
        <v>24</v>
      </c>
      <c r="G4" s="17" t="s">
        <v>25</v>
      </c>
      <c r="H4" s="17" t="s">
        <v>26</v>
      </c>
      <c r="I4" s="17" t="s">
        <v>27</v>
      </c>
      <c r="J4" s="17" t="s">
        <v>28</v>
      </c>
      <c r="K4" s="17" t="s">
        <v>29</v>
      </c>
    </row>
    <row r="5">
      <c r="A5" s="21">
        <v>1.0</v>
      </c>
      <c r="B5" s="23" t="s">
        <v>251</v>
      </c>
      <c r="C5" s="23" t="s">
        <v>252</v>
      </c>
      <c r="D5" s="23" t="s">
        <v>253</v>
      </c>
      <c r="E5" s="25" t="s">
        <v>42</v>
      </c>
      <c r="F5" s="32" t="s">
        <v>34</v>
      </c>
      <c r="G5" s="62" t="s">
        <v>49</v>
      </c>
      <c r="H5" s="35"/>
      <c r="I5" s="40"/>
      <c r="J5" s="40" t="str">
        <f t="array" ref="J5">IF($I5="","",IFERROR(INDEX(Legend!$C$41:$C$45,MATCH($I5,Legend!$B$41:$B$45,0)),""))</f>
        <v/>
      </c>
      <c r="K5" s="23"/>
    </row>
    <row r="6">
      <c r="A6" s="21">
        <v>2.0</v>
      </c>
      <c r="B6" s="23" t="s">
        <v>251</v>
      </c>
      <c r="C6" s="23" t="s">
        <v>252</v>
      </c>
      <c r="D6" s="23" t="s">
        <v>264</v>
      </c>
      <c r="E6" s="25" t="s">
        <v>42</v>
      </c>
      <c r="F6" s="32" t="s">
        <v>34</v>
      </c>
      <c r="G6" s="62" t="s">
        <v>49</v>
      </c>
      <c r="H6" s="35"/>
      <c r="I6" s="40"/>
      <c r="J6" s="40" t="str">
        <f t="array" ref="J6">IF($I6="","",IFERROR(INDEX(Legend!$C$41:$C$45,MATCH($I6,Legend!$B$41:$B$45,0)),""))</f>
        <v/>
      </c>
      <c r="K6" s="23"/>
    </row>
    <row r="7">
      <c r="A7" s="21">
        <v>3.0</v>
      </c>
      <c r="B7" s="23" t="s">
        <v>251</v>
      </c>
      <c r="C7" s="23" t="s">
        <v>252</v>
      </c>
      <c r="D7" s="23" t="s">
        <v>269</v>
      </c>
      <c r="E7" s="25" t="s">
        <v>42</v>
      </c>
      <c r="F7" s="32" t="s">
        <v>34</v>
      </c>
      <c r="G7" s="62" t="s">
        <v>49</v>
      </c>
      <c r="H7" s="35"/>
      <c r="I7" s="40"/>
      <c r="J7" s="40" t="str">
        <f t="array" ref="J7">IF($I7="","",IFERROR(INDEX(Legend!$C$41:$C$45,MATCH($I7,Legend!$B$41:$B$45,0)),""))</f>
        <v/>
      </c>
      <c r="K7" s="23"/>
    </row>
    <row r="8">
      <c r="A8" s="21">
        <v>4.0</v>
      </c>
      <c r="B8" s="23" t="s">
        <v>251</v>
      </c>
      <c r="C8" s="23" t="s">
        <v>252</v>
      </c>
      <c r="D8" s="23" t="s">
        <v>274</v>
      </c>
      <c r="E8" s="25" t="s">
        <v>42</v>
      </c>
      <c r="F8" s="32" t="s">
        <v>34</v>
      </c>
      <c r="G8" s="33" t="s">
        <v>50</v>
      </c>
      <c r="H8" s="35" t="s">
        <v>276</v>
      </c>
      <c r="I8" s="40"/>
      <c r="J8" s="40" t="str">
        <f t="array" ref="J8">IF($I8="","",IFERROR(INDEX(Legend!$C$41:$C$45,MATCH($I8,Legend!$B$41:$B$45,0)),""))</f>
        <v/>
      </c>
      <c r="K8" s="23"/>
    </row>
    <row r="9">
      <c r="A9" s="21">
        <v>5.0</v>
      </c>
      <c r="B9" s="23" t="s">
        <v>251</v>
      </c>
      <c r="C9" s="23" t="s">
        <v>252</v>
      </c>
      <c r="D9" s="23" t="s">
        <v>283</v>
      </c>
      <c r="E9" s="25" t="s">
        <v>42</v>
      </c>
      <c r="F9" s="32" t="s">
        <v>34</v>
      </c>
      <c r="G9" s="62" t="s">
        <v>49</v>
      </c>
      <c r="H9" s="35"/>
      <c r="I9" s="40"/>
      <c r="J9" s="40" t="str">
        <f t="array" ref="J9">IF($I9="","",IFERROR(INDEX(Legend!$C$41:$C$45,MATCH($I9,Legend!$B$41:$B$45,0)),""))</f>
        <v/>
      </c>
      <c r="K9" s="23"/>
    </row>
    <row r="10">
      <c r="A10" s="21">
        <v>6.0</v>
      </c>
      <c r="B10" s="23" t="s">
        <v>251</v>
      </c>
      <c r="C10" s="23" t="s">
        <v>252</v>
      </c>
      <c r="D10" s="23" t="s">
        <v>287</v>
      </c>
      <c r="E10" s="25" t="s">
        <v>42</v>
      </c>
      <c r="F10" s="32" t="s">
        <v>34</v>
      </c>
      <c r="G10" s="62" t="s">
        <v>49</v>
      </c>
      <c r="H10" s="35"/>
      <c r="I10" s="40"/>
      <c r="J10" s="40" t="str">
        <f t="array" ref="J10">IF($I10="","",IFERROR(INDEX(Legend!$C$41:$C$45,MATCH($I10,Legend!$B$41:$B$45,0)),""))</f>
        <v/>
      </c>
      <c r="K10" s="23"/>
    </row>
    <row r="11">
      <c r="A11" s="21">
        <v>7.0</v>
      </c>
      <c r="B11" s="23" t="s">
        <v>251</v>
      </c>
      <c r="C11" s="23" t="s">
        <v>252</v>
      </c>
      <c r="D11" s="23" t="s">
        <v>290</v>
      </c>
      <c r="E11" s="25" t="s">
        <v>42</v>
      </c>
      <c r="F11" s="32" t="s">
        <v>34</v>
      </c>
      <c r="G11" s="62" t="s">
        <v>49</v>
      </c>
      <c r="H11" s="35"/>
      <c r="I11" s="40"/>
      <c r="J11" s="40" t="str">
        <f t="array" ref="J11">IF($I11="","",IFERROR(INDEX(Legend!$C$41:$C$45,MATCH($I11,Legend!$B$41:$B$45,0)),""))</f>
        <v/>
      </c>
      <c r="K11" s="23"/>
    </row>
    <row r="12">
      <c r="A12" s="21">
        <v>8.0</v>
      </c>
      <c r="B12" s="23" t="s">
        <v>251</v>
      </c>
      <c r="C12" s="23" t="s">
        <v>252</v>
      </c>
      <c r="D12" s="23" t="s">
        <v>296</v>
      </c>
      <c r="E12" s="25" t="s">
        <v>42</v>
      </c>
      <c r="F12" s="32" t="s">
        <v>34</v>
      </c>
      <c r="G12" s="62" t="s">
        <v>49</v>
      </c>
      <c r="H12" s="35"/>
      <c r="I12" s="40"/>
      <c r="J12" s="40" t="str">
        <f t="array" ref="J12">IF($I12="","",IFERROR(INDEX(Legend!$C$41:$C$45,MATCH($I12,Legend!$B$41:$B$45,0)),""))</f>
        <v/>
      </c>
      <c r="K12" s="23"/>
    </row>
    <row r="13">
      <c r="A13" s="21">
        <v>9.0</v>
      </c>
      <c r="B13" s="23" t="s">
        <v>251</v>
      </c>
      <c r="C13" s="23" t="s">
        <v>252</v>
      </c>
      <c r="D13" s="23" t="s">
        <v>301</v>
      </c>
      <c r="E13" s="25" t="s">
        <v>42</v>
      </c>
      <c r="F13" s="32" t="s">
        <v>34</v>
      </c>
      <c r="G13" s="33" t="s">
        <v>50</v>
      </c>
      <c r="H13" s="35"/>
      <c r="I13" s="40"/>
      <c r="J13" s="40" t="str">
        <f t="array" ref="J13">IF($I13="","",IFERROR(INDEX(Legend!$C$41:$C$45,MATCH($I13,Legend!$B$41:$B$45,0)),""))</f>
        <v/>
      </c>
      <c r="K13" s="23"/>
    </row>
    <row r="14">
      <c r="A14" s="21">
        <v>10.0</v>
      </c>
      <c r="B14" s="23" t="s">
        <v>251</v>
      </c>
      <c r="C14" s="23" t="s">
        <v>252</v>
      </c>
      <c r="D14" s="23" t="s">
        <v>304</v>
      </c>
      <c r="E14" s="25" t="s">
        <v>42</v>
      </c>
      <c r="F14" s="32" t="s">
        <v>34</v>
      </c>
      <c r="G14" s="33" t="s">
        <v>50</v>
      </c>
      <c r="H14" s="35"/>
      <c r="I14" s="40"/>
      <c r="J14" s="40" t="str">
        <f t="array" ref="J14">IF($I14="","",IFERROR(INDEX(Legend!$C$41:$C$45,MATCH($I14,Legend!$B$41:$B$45,0)),""))</f>
        <v/>
      </c>
      <c r="K14" s="23"/>
    </row>
    <row r="15">
      <c r="A15" s="21">
        <v>11.0</v>
      </c>
      <c r="B15" s="23" t="s">
        <v>251</v>
      </c>
      <c r="C15" s="23" t="s">
        <v>252</v>
      </c>
      <c r="D15" s="23" t="s">
        <v>309</v>
      </c>
      <c r="E15" s="25" t="s">
        <v>42</v>
      </c>
      <c r="F15" s="32" t="s">
        <v>34</v>
      </c>
      <c r="G15" s="33" t="s">
        <v>50</v>
      </c>
      <c r="H15" s="35"/>
      <c r="I15" s="40"/>
      <c r="J15" s="40" t="str">
        <f t="array" ref="J15">IF($I15="","",IFERROR(INDEX(Legend!$C$41:$C$45,MATCH($I15,Legend!$B$41:$B$45,0)),""))</f>
        <v/>
      </c>
      <c r="K15" s="23"/>
    </row>
    <row r="16">
      <c r="A16" s="21">
        <v>12.0</v>
      </c>
      <c r="B16" s="23" t="s">
        <v>251</v>
      </c>
      <c r="C16" s="23" t="s">
        <v>252</v>
      </c>
      <c r="D16" s="23" t="s">
        <v>312</v>
      </c>
      <c r="E16" s="25" t="s">
        <v>42</v>
      </c>
      <c r="F16" s="32" t="s">
        <v>34</v>
      </c>
      <c r="G16" s="33" t="s">
        <v>50</v>
      </c>
      <c r="H16" s="35" t="s">
        <v>313</v>
      </c>
      <c r="I16" s="40"/>
      <c r="J16" s="40" t="str">
        <f t="array" ref="J16">IF($I16="","",IFERROR(INDEX(Legend!$C$41:$C$45,MATCH($I16,Legend!$B$41:$B$45,0)),""))</f>
        <v/>
      </c>
      <c r="K16" s="23"/>
    </row>
    <row r="17">
      <c r="A17" s="21">
        <v>13.0</v>
      </c>
      <c r="B17" s="23" t="s">
        <v>251</v>
      </c>
      <c r="C17" s="23" t="s">
        <v>321</v>
      </c>
      <c r="D17" s="23" t="s">
        <v>322</v>
      </c>
      <c r="E17" s="25" t="s">
        <v>42</v>
      </c>
      <c r="F17" s="32" t="s">
        <v>34</v>
      </c>
      <c r="G17" s="62" t="s">
        <v>49</v>
      </c>
      <c r="H17" s="35"/>
      <c r="I17" s="40"/>
      <c r="J17" s="40" t="str">
        <f t="array" ref="J17">IF($I17="","",IFERROR(INDEX(Legend!$C$41:$C$45,MATCH($I17,Legend!$B$41:$B$45,0)),""))</f>
        <v/>
      </c>
      <c r="K17" s="23"/>
    </row>
    <row r="18">
      <c r="A18" s="21">
        <v>14.0</v>
      </c>
      <c r="B18" s="23" t="s">
        <v>251</v>
      </c>
      <c r="C18" s="23" t="s">
        <v>321</v>
      </c>
      <c r="D18" s="23" t="s">
        <v>328</v>
      </c>
      <c r="E18" s="25" t="s">
        <v>42</v>
      </c>
      <c r="F18" s="32" t="s">
        <v>34</v>
      </c>
      <c r="G18" s="62" t="s">
        <v>49</v>
      </c>
      <c r="H18" s="35"/>
      <c r="I18" s="40"/>
      <c r="J18" s="40" t="str">
        <f t="array" ref="J18">IF($I18="","",IFERROR(INDEX(Legend!$C$41:$C$45,MATCH($I18,Legend!$B$41:$B$45,0)),""))</f>
        <v/>
      </c>
      <c r="K18" s="23"/>
    </row>
    <row r="19">
      <c r="A19" s="21">
        <v>15.0</v>
      </c>
      <c r="B19" s="23" t="s">
        <v>251</v>
      </c>
      <c r="C19" s="23" t="s">
        <v>321</v>
      </c>
      <c r="D19" s="23" t="s">
        <v>331</v>
      </c>
      <c r="E19" s="25" t="s">
        <v>42</v>
      </c>
      <c r="F19" s="32" t="s">
        <v>34</v>
      </c>
      <c r="G19" s="62" t="s">
        <v>49</v>
      </c>
      <c r="H19" s="35"/>
      <c r="I19" s="40"/>
      <c r="J19" s="40" t="str">
        <f t="array" ref="J19">IF($I19="","",IFERROR(INDEX(Legend!$C$41:$C$45,MATCH($I19,Legend!$B$41:$B$45,0)),""))</f>
        <v/>
      </c>
      <c r="K19" s="23"/>
    </row>
    <row r="20">
      <c r="A20" s="21">
        <v>16.0</v>
      </c>
      <c r="B20" s="23" t="s">
        <v>251</v>
      </c>
      <c r="C20" s="23" t="s">
        <v>321</v>
      </c>
      <c r="D20" s="23" t="s">
        <v>339</v>
      </c>
      <c r="E20" s="25" t="s">
        <v>42</v>
      </c>
      <c r="F20" s="26" t="s">
        <v>77</v>
      </c>
      <c r="G20" s="62" t="s">
        <v>49</v>
      </c>
      <c r="H20" s="35"/>
      <c r="I20" s="40"/>
      <c r="J20" s="40" t="str">
        <f t="array" ref="J20">IF($I20="","",IFERROR(INDEX(Legend!$C$41:$C$45,MATCH($I20,Legend!$B$41:$B$45,0)),""))</f>
        <v/>
      </c>
      <c r="K20" s="23"/>
    </row>
    <row r="21" ht="15.75" customHeight="1">
      <c r="A21" s="21">
        <v>17.0</v>
      </c>
      <c r="B21" s="23" t="s">
        <v>251</v>
      </c>
      <c r="C21" s="23" t="s">
        <v>321</v>
      </c>
      <c r="D21" s="23" t="s">
        <v>345</v>
      </c>
      <c r="E21" s="25" t="s">
        <v>42</v>
      </c>
      <c r="F21" s="32" t="s">
        <v>34</v>
      </c>
      <c r="G21" s="62" t="s">
        <v>49</v>
      </c>
      <c r="H21" s="35" t="s">
        <v>346</v>
      </c>
      <c r="I21" s="40"/>
      <c r="J21" s="40" t="str">
        <f t="array" ref="J21">IF($I21="","",IFERROR(INDEX(Legend!$C$41:$C$45,MATCH($I21,Legend!$B$41:$B$45,0)),""))</f>
        <v/>
      </c>
      <c r="K21" s="23"/>
    </row>
    <row r="22" ht="15.75" customHeight="1">
      <c r="A22" s="21">
        <v>18.0</v>
      </c>
      <c r="B22" s="23" t="s">
        <v>251</v>
      </c>
      <c r="C22" s="23" t="s">
        <v>321</v>
      </c>
      <c r="D22" s="23" t="s">
        <v>352</v>
      </c>
      <c r="E22" s="25" t="s">
        <v>42</v>
      </c>
      <c r="F22" s="32" t="s">
        <v>34</v>
      </c>
      <c r="G22" s="62" t="s">
        <v>49</v>
      </c>
      <c r="H22" s="35" t="s">
        <v>353</v>
      </c>
      <c r="I22" s="40"/>
      <c r="J22" s="40" t="str">
        <f t="array" ref="J22">IF($I22="","",IFERROR(INDEX(Legend!$C$41:$C$45,MATCH($I22,Legend!$B$41:$B$45,0)),""))</f>
        <v/>
      </c>
      <c r="K22" s="23"/>
    </row>
    <row r="23" ht="15.75" customHeight="1">
      <c r="A23" s="21">
        <v>19.0</v>
      </c>
      <c r="B23" s="23" t="s">
        <v>251</v>
      </c>
      <c r="C23" s="23" t="s">
        <v>321</v>
      </c>
      <c r="D23" s="23" t="s">
        <v>359</v>
      </c>
      <c r="E23" s="25" t="s">
        <v>42</v>
      </c>
      <c r="F23" s="32" t="s">
        <v>34</v>
      </c>
      <c r="G23" s="62" t="s">
        <v>49</v>
      </c>
      <c r="H23" s="35"/>
      <c r="I23" s="40"/>
      <c r="J23" s="40" t="str">
        <f t="array" ref="J23">IF($I23="","",IFERROR(INDEX(Legend!$C$41:$C$45,MATCH($I23,Legend!$B$41:$B$45,0)),""))</f>
        <v/>
      </c>
      <c r="K23" s="23"/>
    </row>
    <row r="24" ht="15.75" customHeight="1">
      <c r="A24" s="21">
        <v>20.0</v>
      </c>
      <c r="B24" s="23" t="s">
        <v>251</v>
      </c>
      <c r="C24" s="23" t="s">
        <v>321</v>
      </c>
      <c r="D24" s="23" t="s">
        <v>366</v>
      </c>
      <c r="E24" s="25" t="s">
        <v>42</v>
      </c>
      <c r="F24" s="32" t="s">
        <v>34</v>
      </c>
      <c r="G24" s="62" t="s">
        <v>49</v>
      </c>
      <c r="H24" s="35"/>
      <c r="I24" s="40"/>
      <c r="J24" s="40" t="str">
        <f t="array" ref="J24">IF($I24="","",IFERROR(INDEX(Legend!$C$41:$C$45,MATCH($I24,Legend!$B$41:$B$45,0)),""))</f>
        <v/>
      </c>
      <c r="K24" s="23"/>
    </row>
    <row r="25" ht="15.75" customHeight="1">
      <c r="A25" s="21">
        <v>21.0</v>
      </c>
      <c r="B25" s="23" t="s">
        <v>251</v>
      </c>
      <c r="C25" s="23" t="s">
        <v>321</v>
      </c>
      <c r="D25" s="23" t="s">
        <v>370</v>
      </c>
      <c r="E25" s="25" t="s">
        <v>42</v>
      </c>
      <c r="F25" s="32" t="s">
        <v>34</v>
      </c>
      <c r="G25" s="62" t="s">
        <v>49</v>
      </c>
      <c r="H25" s="35"/>
      <c r="I25" s="40"/>
      <c r="J25" s="40" t="str">
        <f t="array" ref="J25">IF($I25="","",IFERROR(INDEX(Legend!$C$41:$C$45,MATCH($I25,Legend!$B$41:$B$45,0)),""))</f>
        <v/>
      </c>
      <c r="K25" s="23"/>
    </row>
    <row r="26" ht="15.75" customHeight="1">
      <c r="A26" s="21">
        <v>22.0</v>
      </c>
      <c r="B26" s="23" t="s">
        <v>251</v>
      </c>
      <c r="C26" s="23" t="s">
        <v>321</v>
      </c>
      <c r="D26" s="23" t="s">
        <v>375</v>
      </c>
      <c r="E26" s="25" t="s">
        <v>42</v>
      </c>
      <c r="F26" s="32" t="s">
        <v>34</v>
      </c>
      <c r="G26" s="33" t="s">
        <v>50</v>
      </c>
      <c r="H26" s="35"/>
      <c r="I26" s="40"/>
      <c r="J26" s="40" t="str">
        <f t="array" ref="J26">IF($I26="","",IFERROR(INDEX(Legend!$C$41:$C$45,MATCH($I26,Legend!$B$41:$B$45,0)),""))</f>
        <v/>
      </c>
      <c r="K26" s="23"/>
    </row>
    <row r="27" ht="15.75" customHeight="1">
      <c r="A27" s="21">
        <v>23.0</v>
      </c>
      <c r="B27" s="23" t="s">
        <v>251</v>
      </c>
      <c r="C27" s="23" t="s">
        <v>321</v>
      </c>
      <c r="D27" s="23" t="s">
        <v>381</v>
      </c>
      <c r="E27" s="25" t="s">
        <v>42</v>
      </c>
      <c r="F27" s="32" t="s">
        <v>34</v>
      </c>
      <c r="G27" s="33" t="s">
        <v>50</v>
      </c>
      <c r="H27" s="35"/>
      <c r="I27" s="40"/>
      <c r="J27" s="40" t="str">
        <f t="array" ref="J27">IF($I27="","",IFERROR(INDEX(Legend!$C$41:$C$45,MATCH($I27,Legend!$B$41:$B$45,0)),""))</f>
        <v/>
      </c>
      <c r="K27" s="23"/>
    </row>
    <row r="28" ht="15.75" customHeight="1">
      <c r="A28" s="21">
        <v>24.0</v>
      </c>
      <c r="B28" s="23" t="s">
        <v>251</v>
      </c>
      <c r="C28" s="23" t="s">
        <v>321</v>
      </c>
      <c r="D28" s="23" t="s">
        <v>390</v>
      </c>
      <c r="E28" s="25" t="s">
        <v>42</v>
      </c>
      <c r="F28" s="32" t="s">
        <v>34</v>
      </c>
      <c r="G28" s="33" t="s">
        <v>50</v>
      </c>
      <c r="H28" s="35"/>
      <c r="I28" s="40"/>
      <c r="J28" s="40" t="str">
        <f t="array" ref="J28">IF($I28="","",IFERROR(INDEX(Legend!$C$41:$C$45,MATCH($I28,Legend!$B$41:$B$45,0)),""))</f>
        <v/>
      </c>
      <c r="K28" s="23"/>
    </row>
    <row r="29" ht="15.75" customHeight="1">
      <c r="A29" s="21">
        <v>25.0</v>
      </c>
      <c r="B29" s="23" t="s">
        <v>251</v>
      </c>
      <c r="C29" s="23" t="s">
        <v>321</v>
      </c>
      <c r="D29" s="23" t="s">
        <v>398</v>
      </c>
      <c r="E29" s="25" t="s">
        <v>42</v>
      </c>
      <c r="F29" s="32" t="s">
        <v>34</v>
      </c>
      <c r="G29" s="33" t="s">
        <v>50</v>
      </c>
      <c r="H29" s="35"/>
      <c r="I29" s="40"/>
      <c r="J29" s="40" t="str">
        <f t="array" ref="J29">IF($I29="","",IFERROR(INDEX(Legend!$C$41:$C$45,MATCH($I29,Legend!$B$41:$B$45,0)),""))</f>
        <v/>
      </c>
      <c r="K29" s="23"/>
    </row>
    <row r="30" ht="15.75" customHeight="1">
      <c r="A30" s="21">
        <v>26.0</v>
      </c>
      <c r="B30" s="23" t="s">
        <v>251</v>
      </c>
      <c r="C30" s="23" t="s">
        <v>321</v>
      </c>
      <c r="D30" s="23" t="s">
        <v>404</v>
      </c>
      <c r="E30" s="25" t="s">
        <v>42</v>
      </c>
      <c r="F30" s="32" t="s">
        <v>34</v>
      </c>
      <c r="G30" s="33" t="s">
        <v>50</v>
      </c>
      <c r="H30" s="35"/>
      <c r="I30" s="40"/>
      <c r="J30" s="40" t="str">
        <f t="array" ref="J30">IF($I30="","",IFERROR(INDEX(Legend!$C$41:$C$45,MATCH($I30,Legend!$B$41:$B$45,0)),""))</f>
        <v/>
      </c>
      <c r="K30" s="23"/>
    </row>
    <row r="31" ht="15.75" customHeight="1">
      <c r="A31" s="21">
        <v>27.0</v>
      </c>
      <c r="B31" s="23" t="s">
        <v>251</v>
      </c>
      <c r="C31" s="23" t="s">
        <v>321</v>
      </c>
      <c r="D31" s="23" t="s">
        <v>412</v>
      </c>
      <c r="E31" s="25" t="s">
        <v>42</v>
      </c>
      <c r="F31" s="32" t="s">
        <v>34</v>
      </c>
      <c r="G31" s="33" t="s">
        <v>50</v>
      </c>
      <c r="H31" s="35"/>
      <c r="I31" s="40"/>
      <c r="J31" s="40" t="str">
        <f t="array" ref="J31">IF($I31="","",IFERROR(INDEX(Legend!$C$41:$C$45,MATCH($I31,Legend!$B$41:$B$45,0)),""))</f>
        <v/>
      </c>
      <c r="K31" s="23"/>
    </row>
    <row r="32" ht="15.75" customHeight="1">
      <c r="A32" s="21">
        <v>28.0</v>
      </c>
      <c r="B32" s="23" t="s">
        <v>251</v>
      </c>
      <c r="C32" s="23" t="s">
        <v>321</v>
      </c>
      <c r="D32" s="23" t="s">
        <v>416</v>
      </c>
      <c r="E32" s="25" t="s">
        <v>42</v>
      </c>
      <c r="F32" s="32" t="s">
        <v>34</v>
      </c>
      <c r="G32" s="33" t="s">
        <v>50</v>
      </c>
      <c r="H32" s="35"/>
      <c r="I32" s="40"/>
      <c r="J32" s="40" t="str">
        <f t="array" ref="J32">IF($I32="","",IFERROR(INDEX(Legend!$C$41:$C$45,MATCH($I32,Legend!$B$41:$B$45,0)),""))</f>
        <v/>
      </c>
      <c r="K32" s="23"/>
    </row>
    <row r="33" ht="15.75" customHeight="1">
      <c r="A33" s="21">
        <v>29.0</v>
      </c>
      <c r="B33" s="23" t="s">
        <v>251</v>
      </c>
      <c r="C33" s="23" t="s">
        <v>321</v>
      </c>
      <c r="D33" s="23" t="s">
        <v>427</v>
      </c>
      <c r="E33" s="25" t="s">
        <v>42</v>
      </c>
      <c r="F33" s="32" t="s">
        <v>34</v>
      </c>
      <c r="G33" s="33" t="s">
        <v>50</v>
      </c>
      <c r="H33" s="35"/>
      <c r="I33" s="40"/>
      <c r="J33" s="40" t="str">
        <f t="array" ref="J33">IF($I33="","",IFERROR(INDEX(Legend!$C$41:$C$45,MATCH($I33,Legend!$B$41:$B$45,0)),""))</f>
        <v/>
      </c>
      <c r="K33" s="23"/>
    </row>
    <row r="34" ht="15.75" customHeight="1">
      <c r="A34" s="21">
        <v>30.0</v>
      </c>
      <c r="B34" s="23" t="s">
        <v>251</v>
      </c>
      <c r="C34" s="23" t="s">
        <v>321</v>
      </c>
      <c r="D34" s="23" t="s">
        <v>431</v>
      </c>
      <c r="E34" s="25" t="s">
        <v>42</v>
      </c>
      <c r="F34" s="32" t="s">
        <v>34</v>
      </c>
      <c r="G34" s="33" t="s">
        <v>50</v>
      </c>
      <c r="H34" s="35"/>
      <c r="I34" s="40"/>
      <c r="J34" s="40" t="str">
        <f t="array" ref="J34">IF($I34="","",IFERROR(INDEX(Legend!$C$41:$C$45,MATCH($I34,Legend!$B$41:$B$45,0)),""))</f>
        <v/>
      </c>
      <c r="K34" s="23"/>
    </row>
    <row r="35" ht="15.75" customHeight="1">
      <c r="A35" s="21">
        <v>31.0</v>
      </c>
      <c r="B35" s="23" t="s">
        <v>251</v>
      </c>
      <c r="C35" s="23" t="s">
        <v>321</v>
      </c>
      <c r="D35" s="23" t="s">
        <v>436</v>
      </c>
      <c r="E35" s="25" t="s">
        <v>42</v>
      </c>
      <c r="F35" s="29" t="s">
        <v>46</v>
      </c>
      <c r="G35" s="30" t="s">
        <v>47</v>
      </c>
      <c r="H35" s="35"/>
      <c r="I35" s="40"/>
      <c r="J35" s="40" t="str">
        <f t="array" ref="J35">IF($I35="","",IFERROR(INDEX(Legend!$C$41:$C$45,MATCH($I35,Legend!$B$41:$B$45,0)),""))</f>
        <v/>
      </c>
      <c r="K35" s="23"/>
    </row>
    <row r="36" ht="15.75" customHeight="1">
      <c r="A36" s="21">
        <v>32.0</v>
      </c>
      <c r="B36" s="23" t="s">
        <v>251</v>
      </c>
      <c r="C36" s="23" t="s">
        <v>321</v>
      </c>
      <c r="D36" s="23" t="s">
        <v>441</v>
      </c>
      <c r="E36" s="25" t="s">
        <v>42</v>
      </c>
      <c r="F36" s="32" t="s">
        <v>34</v>
      </c>
      <c r="G36" s="33" t="s">
        <v>50</v>
      </c>
      <c r="H36" s="35"/>
      <c r="I36" s="40"/>
      <c r="J36" s="40" t="str">
        <f t="array" ref="J36">IF($I36="","",IFERROR(INDEX(Legend!$C$41:$C$45,MATCH($I36,Legend!$B$41:$B$45,0)),""))</f>
        <v/>
      </c>
      <c r="K36" s="23"/>
    </row>
    <row r="37" ht="15.75" customHeight="1">
      <c r="A37" s="21">
        <v>33.0</v>
      </c>
      <c r="B37" s="23" t="s">
        <v>251</v>
      </c>
      <c r="C37" s="23" t="s">
        <v>321</v>
      </c>
      <c r="D37" s="23" t="s">
        <v>445</v>
      </c>
      <c r="E37" s="25" t="s">
        <v>42</v>
      </c>
      <c r="F37" s="29" t="s">
        <v>46</v>
      </c>
      <c r="G37" s="30" t="s">
        <v>47</v>
      </c>
      <c r="H37" s="35"/>
      <c r="I37" s="40"/>
      <c r="J37" s="40" t="str">
        <f t="array" ref="J37">IF($I37="","",IFERROR(INDEX(Legend!$C$41:$C$45,MATCH($I37,Legend!$B$41:$B$45,0)),""))</f>
        <v/>
      </c>
      <c r="K37" s="23"/>
    </row>
    <row r="38" ht="15.75" customHeight="1">
      <c r="A38" s="21">
        <v>34.0</v>
      </c>
      <c r="B38" s="23" t="s">
        <v>251</v>
      </c>
      <c r="C38" s="23" t="s">
        <v>446</v>
      </c>
      <c r="D38" s="23" t="s">
        <v>448</v>
      </c>
      <c r="E38" s="25" t="s">
        <v>42</v>
      </c>
      <c r="F38" s="32" t="s">
        <v>34</v>
      </c>
      <c r="G38" s="62" t="s">
        <v>49</v>
      </c>
      <c r="H38" s="35" t="s">
        <v>450</v>
      </c>
      <c r="I38" s="40"/>
      <c r="J38" s="40" t="str">
        <f t="array" ref="J38">IF($I38="","",IFERROR(INDEX(Legend!$C$41:$C$45,MATCH($I38,Legend!$B$41:$B$45,0)),""))</f>
        <v/>
      </c>
      <c r="K38" s="23"/>
    </row>
    <row r="39" ht="15.75" customHeight="1">
      <c r="A39" s="21">
        <v>35.0</v>
      </c>
      <c r="B39" s="23" t="s">
        <v>251</v>
      </c>
      <c r="C39" s="23" t="s">
        <v>446</v>
      </c>
      <c r="D39" s="23" t="s">
        <v>453</v>
      </c>
      <c r="E39" s="25" t="s">
        <v>42</v>
      </c>
      <c r="F39" s="32" t="s">
        <v>34</v>
      </c>
      <c r="G39" s="62" t="s">
        <v>49</v>
      </c>
      <c r="H39" s="35" t="s">
        <v>454</v>
      </c>
      <c r="I39" s="40"/>
      <c r="J39" s="40" t="str">
        <f t="array" ref="J39">IF($I39="","",IFERROR(INDEX(Legend!$C$41:$C$45,MATCH($I39,Legend!$B$41:$B$45,0)),""))</f>
        <v/>
      </c>
      <c r="K39" s="23"/>
    </row>
    <row r="40" ht="15.75" customHeight="1">
      <c r="A40" s="21">
        <v>36.0</v>
      </c>
      <c r="B40" s="23" t="s">
        <v>251</v>
      </c>
      <c r="C40" s="23" t="s">
        <v>446</v>
      </c>
      <c r="D40" s="23" t="s">
        <v>458</v>
      </c>
      <c r="E40" s="25" t="s">
        <v>42</v>
      </c>
      <c r="F40" s="32" t="s">
        <v>34</v>
      </c>
      <c r="G40" s="62" t="s">
        <v>49</v>
      </c>
      <c r="H40" s="35" t="s">
        <v>460</v>
      </c>
      <c r="I40" s="40"/>
      <c r="J40" s="40" t="str">
        <f t="array" ref="J40">IF($I40="","",IFERROR(INDEX(Legend!$C$41:$C$45,MATCH($I40,Legend!$B$41:$B$45,0)),""))</f>
        <v/>
      </c>
      <c r="K40" s="23"/>
    </row>
    <row r="41" ht="15.75" customHeight="1">
      <c r="A41" s="21">
        <v>37.0</v>
      </c>
      <c r="B41" s="23" t="s">
        <v>251</v>
      </c>
      <c r="C41" s="23" t="s">
        <v>446</v>
      </c>
      <c r="D41" s="23" t="s">
        <v>461</v>
      </c>
      <c r="E41" s="25" t="s">
        <v>42</v>
      </c>
      <c r="F41" s="32" t="s">
        <v>34</v>
      </c>
      <c r="G41" s="33" t="s">
        <v>50</v>
      </c>
      <c r="H41" s="35"/>
      <c r="I41" s="40"/>
      <c r="J41" s="40" t="str">
        <f t="array" ref="J41">IF($I41="","",IFERROR(INDEX(Legend!$C$41:$C$45,MATCH($I41,Legend!$B$41:$B$45,0)),""))</f>
        <v/>
      </c>
      <c r="K41" s="23"/>
    </row>
    <row r="42" ht="15.75" customHeight="1">
      <c r="A42" s="21">
        <v>38.0</v>
      </c>
      <c r="B42" s="23" t="s">
        <v>251</v>
      </c>
      <c r="C42" s="23" t="s">
        <v>446</v>
      </c>
      <c r="D42" s="23" t="s">
        <v>466</v>
      </c>
      <c r="E42" s="25" t="s">
        <v>42</v>
      </c>
      <c r="F42" s="32" t="s">
        <v>34</v>
      </c>
      <c r="G42" s="62" t="s">
        <v>49</v>
      </c>
      <c r="H42" s="35"/>
      <c r="I42" s="40"/>
      <c r="J42" s="40" t="str">
        <f t="array" ref="J42">IF($I42="","",IFERROR(INDEX(Legend!$C$41:$C$45,MATCH($I42,Legend!$B$41:$B$45,0)),""))</f>
        <v/>
      </c>
      <c r="K42" s="23"/>
    </row>
    <row r="43" ht="15.75" customHeight="1">
      <c r="A43" s="21">
        <v>39.0</v>
      </c>
      <c r="B43" s="23" t="s">
        <v>251</v>
      </c>
      <c r="C43" s="23" t="s">
        <v>446</v>
      </c>
      <c r="D43" s="23" t="s">
        <v>470</v>
      </c>
      <c r="E43" s="25" t="s">
        <v>42</v>
      </c>
      <c r="F43" s="32" t="s">
        <v>34</v>
      </c>
      <c r="G43" s="62" t="s">
        <v>49</v>
      </c>
      <c r="H43" s="35" t="s">
        <v>471</v>
      </c>
      <c r="I43" s="40"/>
      <c r="J43" s="40" t="str">
        <f t="array" ref="J43">IF($I43="","",IFERROR(INDEX(Legend!$C$41:$C$45,MATCH($I43,Legend!$B$41:$B$45,0)),""))</f>
        <v/>
      </c>
      <c r="K43" s="23"/>
    </row>
    <row r="44" ht="15.75" customHeight="1">
      <c r="A44" s="21">
        <v>40.0</v>
      </c>
      <c r="B44" s="23" t="s">
        <v>251</v>
      </c>
      <c r="C44" s="23" t="s">
        <v>446</v>
      </c>
      <c r="D44" s="23" t="s">
        <v>474</v>
      </c>
      <c r="E44" s="25" t="s">
        <v>42</v>
      </c>
      <c r="F44" s="32" t="s">
        <v>34</v>
      </c>
      <c r="G44" s="62" t="s">
        <v>49</v>
      </c>
      <c r="H44" s="35"/>
      <c r="I44" s="40"/>
      <c r="J44" s="40" t="str">
        <f t="array" ref="J44">IF($I44="","",IFERROR(INDEX(Legend!$C$41:$C$45,MATCH($I44,Legend!$B$41:$B$45,0)),""))</f>
        <v/>
      </c>
      <c r="K44" s="23"/>
    </row>
    <row r="45" ht="15.75" customHeight="1">
      <c r="A45" s="21">
        <v>41.0</v>
      </c>
      <c r="B45" s="23" t="s">
        <v>251</v>
      </c>
      <c r="C45" s="23" t="s">
        <v>446</v>
      </c>
      <c r="D45" s="23" t="s">
        <v>479</v>
      </c>
      <c r="E45" s="25" t="s">
        <v>42</v>
      </c>
      <c r="F45" s="32" t="s">
        <v>34</v>
      </c>
      <c r="G45" s="62" t="s">
        <v>49</v>
      </c>
      <c r="H45" s="35" t="s">
        <v>480</v>
      </c>
      <c r="I45" s="40"/>
      <c r="J45" s="40" t="str">
        <f t="array" ref="J45">IF($I45="","",IFERROR(INDEX(Legend!$C$41:$C$45,MATCH($I45,Legend!$B$41:$B$45,0)),""))</f>
        <v/>
      </c>
      <c r="K45" s="23"/>
    </row>
    <row r="46" ht="15.75" customHeight="1">
      <c r="A46" s="21">
        <v>42.0</v>
      </c>
      <c r="B46" s="23" t="s">
        <v>251</v>
      </c>
      <c r="C46" s="23" t="s">
        <v>446</v>
      </c>
      <c r="D46" s="23" t="s">
        <v>483</v>
      </c>
      <c r="E46" s="25" t="s">
        <v>42</v>
      </c>
      <c r="F46" s="32" t="s">
        <v>34</v>
      </c>
      <c r="G46" s="33" t="s">
        <v>50</v>
      </c>
      <c r="H46" s="35"/>
      <c r="I46" s="40"/>
      <c r="J46" s="40" t="str">
        <f t="array" ref="J46">IF($I46="","",IFERROR(INDEX(Legend!$C$41:$C$45,MATCH($I46,Legend!$B$41:$B$45,0)),""))</f>
        <v/>
      </c>
      <c r="K46" s="23"/>
    </row>
    <row r="47" ht="15.75" customHeight="1">
      <c r="A47" s="21">
        <v>43.0</v>
      </c>
      <c r="B47" s="23" t="s">
        <v>251</v>
      </c>
      <c r="C47" s="23" t="s">
        <v>446</v>
      </c>
      <c r="D47" s="23" t="s">
        <v>486</v>
      </c>
      <c r="E47" s="26" t="s">
        <v>43</v>
      </c>
      <c r="F47" s="29" t="s">
        <v>46</v>
      </c>
      <c r="G47" s="30" t="s">
        <v>47</v>
      </c>
      <c r="H47" s="35" t="s">
        <v>488</v>
      </c>
      <c r="I47" s="40"/>
      <c r="J47" s="40" t="str">
        <f t="array" ref="J47">IF($I47="","",IFERROR(INDEX(Legend!$C$41:$C$45,MATCH($I47,Legend!$B$41:$B$45,0)),""))</f>
        <v/>
      </c>
      <c r="K47" s="23"/>
    </row>
    <row r="48" ht="15.75" customHeight="1">
      <c r="A48" s="21">
        <v>44.0</v>
      </c>
      <c r="B48" s="23" t="s">
        <v>251</v>
      </c>
      <c r="C48" s="23" t="s">
        <v>491</v>
      </c>
      <c r="D48" s="23" t="s">
        <v>492</v>
      </c>
      <c r="E48" s="25" t="s">
        <v>42</v>
      </c>
      <c r="F48" s="32" t="s">
        <v>34</v>
      </c>
      <c r="G48" s="62" t="s">
        <v>49</v>
      </c>
      <c r="H48" s="35" t="s">
        <v>493</v>
      </c>
      <c r="I48" s="40"/>
      <c r="J48" s="40" t="str">
        <f t="array" ref="J48">IF($I48="","",IFERROR(INDEX(Legend!$C$41:$C$45,MATCH($I48,Legend!$B$41:$B$45,0)),""))</f>
        <v/>
      </c>
      <c r="K48" s="23"/>
    </row>
    <row r="49" ht="15.75" customHeight="1">
      <c r="A49" s="21">
        <v>45.0</v>
      </c>
      <c r="B49" s="23" t="s">
        <v>251</v>
      </c>
      <c r="C49" s="23" t="s">
        <v>491</v>
      </c>
      <c r="D49" s="23" t="s">
        <v>496</v>
      </c>
      <c r="E49" s="25" t="s">
        <v>42</v>
      </c>
      <c r="F49" s="26" t="s">
        <v>77</v>
      </c>
      <c r="G49" s="62" t="s">
        <v>49</v>
      </c>
      <c r="H49" s="35"/>
      <c r="I49" s="40"/>
      <c r="J49" s="40" t="str">
        <f t="array" ref="J49">IF($I49="","",IFERROR(INDEX(Legend!$C$41:$C$45,MATCH($I49,Legend!$B$41:$B$45,0)),""))</f>
        <v/>
      </c>
      <c r="K49" s="23"/>
    </row>
    <row r="50" ht="15.75" customHeight="1">
      <c r="A50" s="21">
        <v>46.0</v>
      </c>
      <c r="B50" s="23" t="s">
        <v>251</v>
      </c>
      <c r="C50" s="23" t="s">
        <v>491</v>
      </c>
      <c r="D50" s="23" t="s">
        <v>501</v>
      </c>
      <c r="E50" s="25" t="s">
        <v>42</v>
      </c>
      <c r="F50" s="32" t="s">
        <v>34</v>
      </c>
      <c r="G50" s="62" t="s">
        <v>49</v>
      </c>
      <c r="H50" s="35" t="s">
        <v>502</v>
      </c>
      <c r="I50" s="40"/>
      <c r="J50" s="40" t="str">
        <f t="array" ref="J50">IF($I50="","",IFERROR(INDEX(Legend!$C$41:$C$45,MATCH($I50,Legend!$B$41:$B$45,0)),""))</f>
        <v/>
      </c>
      <c r="K50" s="23"/>
    </row>
    <row r="51" ht="15.75" customHeight="1">
      <c r="A51" s="21">
        <v>47.0</v>
      </c>
      <c r="B51" s="23" t="s">
        <v>251</v>
      </c>
      <c r="C51" s="23" t="s">
        <v>491</v>
      </c>
      <c r="D51" s="23" t="s">
        <v>504</v>
      </c>
      <c r="E51" s="25" t="s">
        <v>42</v>
      </c>
      <c r="F51" s="32" t="s">
        <v>34</v>
      </c>
      <c r="G51" s="62" t="s">
        <v>49</v>
      </c>
      <c r="H51" s="35"/>
      <c r="I51" s="40"/>
      <c r="J51" s="40" t="str">
        <f t="array" ref="J51">IF($I51="","",IFERROR(INDEX(Legend!$C$41:$C$45,MATCH($I51,Legend!$B$41:$B$45,0)),""))</f>
        <v/>
      </c>
      <c r="K51" s="23"/>
    </row>
    <row r="52" ht="15.75" customHeight="1">
      <c r="A52" s="21">
        <v>48.0</v>
      </c>
      <c r="B52" s="23" t="s">
        <v>251</v>
      </c>
      <c r="C52" s="23" t="s">
        <v>491</v>
      </c>
      <c r="D52" s="23" t="s">
        <v>507</v>
      </c>
      <c r="E52" s="25" t="s">
        <v>42</v>
      </c>
      <c r="F52" s="32" t="s">
        <v>34</v>
      </c>
      <c r="G52" s="33" t="s">
        <v>50</v>
      </c>
      <c r="H52" s="35"/>
      <c r="I52" s="40"/>
      <c r="J52" s="40" t="str">
        <f t="array" ref="J52">IF($I52="","",IFERROR(INDEX(Legend!$C$41:$C$45,MATCH($I52,Legend!$B$41:$B$45,0)),""))</f>
        <v/>
      </c>
      <c r="K52" s="23"/>
    </row>
    <row r="53" ht="15.75" customHeight="1">
      <c r="A53" s="21">
        <v>49.0</v>
      </c>
      <c r="B53" s="23" t="s">
        <v>251</v>
      </c>
      <c r="C53" s="23" t="s">
        <v>491</v>
      </c>
      <c r="D53" s="23" t="s">
        <v>512</v>
      </c>
      <c r="E53" s="25" t="s">
        <v>42</v>
      </c>
      <c r="F53" s="32" t="s">
        <v>34</v>
      </c>
      <c r="G53" s="62" t="s">
        <v>49</v>
      </c>
      <c r="H53" s="35"/>
      <c r="I53" s="40"/>
      <c r="J53" s="40" t="str">
        <f t="array" ref="J53">IF($I53="","",IFERROR(INDEX(Legend!$C$41:$C$45,MATCH($I53,Legend!$B$41:$B$45,0)),""))</f>
        <v/>
      </c>
      <c r="K53" s="23"/>
    </row>
    <row r="54" ht="15.75" customHeight="1">
      <c r="A54" s="21">
        <v>50.0</v>
      </c>
      <c r="B54" s="23" t="s">
        <v>251</v>
      </c>
      <c r="C54" s="23" t="s">
        <v>491</v>
      </c>
      <c r="D54" s="23" t="s">
        <v>514</v>
      </c>
      <c r="E54" s="25" t="s">
        <v>42</v>
      </c>
      <c r="F54" s="32" t="s">
        <v>34</v>
      </c>
      <c r="G54" s="33" t="s">
        <v>50</v>
      </c>
      <c r="H54" s="35"/>
      <c r="I54" s="40"/>
      <c r="J54" s="40" t="str">
        <f t="array" ref="J54">IF($I54="","",IFERROR(INDEX(Legend!$C$41:$C$45,MATCH($I54,Legend!$B$41:$B$45,0)),""))</f>
        <v/>
      </c>
      <c r="K54" s="23"/>
    </row>
    <row r="55" ht="15.75" customHeight="1">
      <c r="A55" s="21">
        <v>51.0</v>
      </c>
      <c r="B55" s="23" t="s">
        <v>251</v>
      </c>
      <c r="C55" s="23" t="s">
        <v>491</v>
      </c>
      <c r="D55" s="23" t="s">
        <v>518</v>
      </c>
      <c r="E55" s="25" t="s">
        <v>42</v>
      </c>
      <c r="F55" s="32" t="s">
        <v>34</v>
      </c>
      <c r="G55" s="62" t="s">
        <v>49</v>
      </c>
      <c r="H55" s="35"/>
      <c r="I55" s="40"/>
      <c r="J55" s="40" t="str">
        <f t="array" ref="J55">IF($I55="","",IFERROR(INDEX(Legend!$C$41:$C$45,MATCH($I55,Legend!$B$41:$B$45,0)),""))</f>
        <v/>
      </c>
      <c r="K55" s="23"/>
    </row>
    <row r="56" ht="15.75" customHeight="1">
      <c r="A56" s="21">
        <v>52.0</v>
      </c>
      <c r="B56" s="23" t="s">
        <v>251</v>
      </c>
      <c r="C56" s="23" t="s">
        <v>491</v>
      </c>
      <c r="D56" s="23" t="s">
        <v>520</v>
      </c>
      <c r="E56" s="25" t="s">
        <v>42</v>
      </c>
      <c r="F56" s="32" t="s">
        <v>34</v>
      </c>
      <c r="G56" s="62" t="s">
        <v>49</v>
      </c>
      <c r="H56" s="35" t="s">
        <v>521</v>
      </c>
      <c r="I56" s="40"/>
      <c r="J56" s="40" t="str">
        <f t="array" ref="J56">IF($I56="","",IFERROR(INDEX(Legend!$C$41:$C$45,MATCH($I56,Legend!$B$41:$B$45,0)),""))</f>
        <v/>
      </c>
      <c r="K56" s="23"/>
    </row>
    <row r="57" ht="15.75" customHeight="1">
      <c r="A57" s="21">
        <v>53.0</v>
      </c>
      <c r="B57" s="23" t="s">
        <v>251</v>
      </c>
      <c r="C57" s="23" t="s">
        <v>491</v>
      </c>
      <c r="D57" s="23" t="s">
        <v>525</v>
      </c>
      <c r="E57" s="25" t="s">
        <v>42</v>
      </c>
      <c r="F57" s="32" t="s">
        <v>34</v>
      </c>
      <c r="G57" s="62" t="s">
        <v>49</v>
      </c>
      <c r="H57" s="35" t="s">
        <v>526</v>
      </c>
      <c r="I57" s="40"/>
      <c r="J57" s="40" t="str">
        <f t="array" ref="J57">IF($I57="","",IFERROR(INDEX(Legend!$C$41:$C$45,MATCH($I57,Legend!$B$41:$B$45,0)),""))</f>
        <v/>
      </c>
      <c r="K57" s="23"/>
    </row>
    <row r="58" ht="15.75" customHeight="1">
      <c r="A58" s="21">
        <v>54.0</v>
      </c>
      <c r="B58" s="23" t="s">
        <v>530</v>
      </c>
      <c r="C58" s="23" t="s">
        <v>531</v>
      </c>
      <c r="D58" s="23" t="s">
        <v>532</v>
      </c>
      <c r="E58" s="63" t="s">
        <v>33</v>
      </c>
      <c r="F58" s="32" t="s">
        <v>34</v>
      </c>
      <c r="G58" s="62" t="s">
        <v>49</v>
      </c>
      <c r="H58" s="35" t="s">
        <v>535</v>
      </c>
      <c r="I58" s="40"/>
      <c r="J58" s="40" t="str">
        <f t="array" ref="J58">IF($I58="","",IFERROR(INDEX(Legend!$C$41:$C$45,MATCH($I58,Legend!$B$41:$B$45,0)),""))</f>
        <v/>
      </c>
      <c r="K58" s="23"/>
    </row>
    <row r="59" ht="15.75" customHeight="1">
      <c r="A59" s="21">
        <v>55.0</v>
      </c>
      <c r="B59" s="23" t="s">
        <v>530</v>
      </c>
      <c r="C59" s="23" t="s">
        <v>531</v>
      </c>
      <c r="D59" s="23" t="s">
        <v>539</v>
      </c>
      <c r="E59" s="25" t="s">
        <v>42</v>
      </c>
      <c r="F59" s="32" t="s">
        <v>34</v>
      </c>
      <c r="G59" s="62" t="s">
        <v>49</v>
      </c>
      <c r="H59" s="35" t="s">
        <v>540</v>
      </c>
      <c r="I59" s="40"/>
      <c r="J59" s="40" t="str">
        <f t="array" ref="J59">IF($I59="","",IFERROR(INDEX(Legend!$C$41:$C$45,MATCH($I59,Legend!$B$41:$B$45,0)),""))</f>
        <v/>
      </c>
      <c r="K59" s="23"/>
    </row>
    <row r="60" ht="15.75" customHeight="1">
      <c r="A60" s="21">
        <v>56.0</v>
      </c>
      <c r="B60" s="23" t="s">
        <v>530</v>
      </c>
      <c r="C60" s="23" t="s">
        <v>531</v>
      </c>
      <c r="D60" s="23" t="s">
        <v>542</v>
      </c>
      <c r="E60" s="25" t="s">
        <v>42</v>
      </c>
      <c r="F60" s="26" t="s">
        <v>77</v>
      </c>
      <c r="G60" s="62" t="s">
        <v>49</v>
      </c>
      <c r="H60" s="35" t="s">
        <v>545</v>
      </c>
      <c r="I60" s="40"/>
      <c r="J60" s="40" t="str">
        <f t="array" ref="J60">IF($I60="","",IFERROR(INDEX(Legend!$C$41:$C$45,MATCH($I60,Legend!$B$41:$B$45,0)),""))</f>
        <v/>
      </c>
      <c r="K60" s="23"/>
    </row>
    <row r="61" ht="15.75" customHeight="1">
      <c r="A61" s="21">
        <v>57.0</v>
      </c>
      <c r="B61" s="23" t="s">
        <v>530</v>
      </c>
      <c r="C61" s="23" t="s">
        <v>531</v>
      </c>
      <c r="D61" s="23" t="s">
        <v>547</v>
      </c>
      <c r="E61" s="25" t="s">
        <v>42</v>
      </c>
      <c r="F61" s="26" t="s">
        <v>77</v>
      </c>
      <c r="G61" s="62" t="s">
        <v>49</v>
      </c>
      <c r="H61" s="35" t="s">
        <v>548</v>
      </c>
      <c r="I61" s="40"/>
      <c r="J61" s="40" t="str">
        <f t="array" ref="J61">IF($I61="","",IFERROR(INDEX(Legend!$C$41:$C$45,MATCH($I61,Legend!$B$41:$B$45,0)),""))</f>
        <v/>
      </c>
      <c r="K61" s="23"/>
    </row>
    <row r="62" ht="15.75" customHeight="1">
      <c r="A62" s="21">
        <v>58.0</v>
      </c>
      <c r="B62" s="23" t="s">
        <v>530</v>
      </c>
      <c r="C62" s="23" t="s">
        <v>531</v>
      </c>
      <c r="D62" s="23" t="s">
        <v>553</v>
      </c>
      <c r="E62" s="25" t="s">
        <v>42</v>
      </c>
      <c r="F62" s="26" t="s">
        <v>77</v>
      </c>
      <c r="G62" s="62" t="s">
        <v>49</v>
      </c>
      <c r="H62" s="35" t="s">
        <v>554</v>
      </c>
      <c r="I62" s="40"/>
      <c r="J62" s="40" t="str">
        <f t="array" ref="J62">IF($I62="","",IFERROR(INDEX(Legend!$C$41:$C$45,MATCH($I62,Legend!$B$41:$B$45,0)),""))</f>
        <v/>
      </c>
      <c r="K62" s="23"/>
    </row>
    <row r="63" ht="15.75" customHeight="1">
      <c r="A63" s="21">
        <v>59.0</v>
      </c>
      <c r="B63" s="23" t="s">
        <v>530</v>
      </c>
      <c r="C63" s="23" t="s">
        <v>531</v>
      </c>
      <c r="D63" s="23" t="s">
        <v>556</v>
      </c>
      <c r="E63" s="25" t="s">
        <v>42</v>
      </c>
      <c r="F63" s="32" t="s">
        <v>34</v>
      </c>
      <c r="G63" s="62" t="s">
        <v>49</v>
      </c>
      <c r="H63" s="35" t="s">
        <v>558</v>
      </c>
      <c r="I63" s="40"/>
      <c r="J63" s="40" t="str">
        <f t="array" ref="J63">IF($I63="","",IFERROR(INDEX(Legend!$C$41:$C$45,MATCH($I63,Legend!$B$41:$B$45,0)),""))</f>
        <v/>
      </c>
      <c r="K63" s="23"/>
    </row>
    <row r="64" ht="15.75" customHeight="1">
      <c r="A64" s="21">
        <v>60.0</v>
      </c>
      <c r="B64" s="23" t="s">
        <v>530</v>
      </c>
      <c r="C64" s="23" t="s">
        <v>531</v>
      </c>
      <c r="D64" s="23" t="s">
        <v>561</v>
      </c>
      <c r="E64" s="25" t="s">
        <v>42</v>
      </c>
      <c r="F64" s="26" t="s">
        <v>77</v>
      </c>
      <c r="G64" s="62" t="s">
        <v>49</v>
      </c>
      <c r="H64" s="35" t="s">
        <v>562</v>
      </c>
      <c r="I64" s="40"/>
      <c r="J64" s="40" t="str">
        <f t="array" ref="J64">IF($I64="","",IFERROR(INDEX(Legend!$C$41:$C$45,MATCH($I64,Legend!$B$41:$B$45,0)),""))</f>
        <v/>
      </c>
      <c r="K64" s="23"/>
    </row>
    <row r="65" ht="15.75" customHeight="1">
      <c r="A65" s="21">
        <v>61.0</v>
      </c>
      <c r="B65" s="23" t="s">
        <v>530</v>
      </c>
      <c r="C65" s="23" t="s">
        <v>531</v>
      </c>
      <c r="D65" s="23" t="s">
        <v>565</v>
      </c>
      <c r="E65" s="25" t="s">
        <v>42</v>
      </c>
      <c r="F65" s="32" t="s">
        <v>34</v>
      </c>
      <c r="G65" s="62" t="s">
        <v>49</v>
      </c>
      <c r="H65" s="35" t="s">
        <v>566</v>
      </c>
      <c r="I65" s="40"/>
      <c r="J65" s="40" t="str">
        <f t="array" ref="J65">IF($I65="","",IFERROR(INDEX(Legend!$C$41:$C$45,MATCH($I65,Legend!$B$41:$B$45,0)),""))</f>
        <v/>
      </c>
      <c r="K65" s="23"/>
    </row>
    <row r="66" ht="15.75" customHeight="1">
      <c r="A66" s="21">
        <v>62.0</v>
      </c>
      <c r="B66" s="23" t="s">
        <v>530</v>
      </c>
      <c r="C66" s="23" t="s">
        <v>531</v>
      </c>
      <c r="D66" s="23" t="s">
        <v>570</v>
      </c>
      <c r="E66" s="25" t="s">
        <v>42</v>
      </c>
      <c r="F66" s="26" t="s">
        <v>77</v>
      </c>
      <c r="G66" s="62" t="s">
        <v>49</v>
      </c>
      <c r="H66" s="35" t="s">
        <v>571</v>
      </c>
      <c r="I66" s="40"/>
      <c r="J66" s="40" t="str">
        <f t="array" ref="J66">IF($I66="","",IFERROR(INDEX(Legend!$C$41:$C$45,MATCH($I66,Legend!$B$41:$B$45,0)),""))</f>
        <v/>
      </c>
      <c r="K66" s="2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66"/>
  <mergeCells count="5">
    <mergeCell ref="A1:K1"/>
    <mergeCell ref="A2:K2"/>
    <mergeCell ref="A3:B3"/>
    <mergeCell ref="E3:G3"/>
    <mergeCell ref="I3:J3"/>
  </mergeCells>
  <conditionalFormatting sqref="I5:I66">
    <cfRule type="cellIs" dxfId="0" priority="1" operator="equal">
      <formula>"Not started"</formula>
    </cfRule>
  </conditionalFormatting>
  <conditionalFormatting sqref="I5:I66">
    <cfRule type="cellIs" dxfId="1" priority="2" operator="equal">
      <formula>"Learning"</formula>
    </cfRule>
  </conditionalFormatting>
  <conditionalFormatting sqref="I5:I66">
    <cfRule type="cellIs" dxfId="2" priority="3" operator="equal">
      <formula>"Can build"</formula>
    </cfRule>
  </conditionalFormatting>
  <conditionalFormatting sqref="I5:I66">
    <cfRule type="cellIs" dxfId="3" priority="4" operator="equal">
      <formula>"Can debug"</formula>
    </cfRule>
  </conditionalFormatting>
  <conditionalFormatting sqref="I5:I66">
    <cfRule type="cellIs" dxfId="4" priority="5" operator="equal">
      <formula>"Solid"</formula>
    </cfRule>
  </conditionalFormatting>
  <conditionalFormatting sqref="J5:J66">
    <cfRule type="colorScale" priority="6">
      <colorScale>
        <cfvo type="formula" val="0"/>
        <cfvo type="formula" val="2"/>
        <cfvo type="formula" val="4"/>
        <color rgb="FFF8D7DA"/>
        <color rgb="FFFFF3CD"/>
        <color rgb="FFC9EAD5"/>
      </colorScale>
    </cfRule>
  </conditionalFormatting>
  <dataValidations>
    <dataValidation type="list" allowBlank="1" sqref="I5:I66">
      <formula1>"Not started,Learning,Can build,Can debug,Solid"</formula1>
    </dataValidation>
  </dataValidations>
  <hyperlinks>
    <hyperlink display="Legend" location="Legend!A1" ref="A3"/>
    <hyperlink display="Core 0–5" location="'Core Syllabus'!A1" ref="C3"/>
    <hyperlink display="Advanced" location="'Advanced Web'!A1" ref="D3"/>
    <hyperlink display="Branches" location="'Role Branches'!A1" ref="E3"/>
    <hyperlink display="Courses" location="'Course Map'!A1" ref="I3"/>
    <hyperlink display="Dashboard" location="Dashboard!A1" ref="K3"/>
  </hyperlink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2D9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2.0"/>
    <col customWidth="1" min="3" max="3" width="42.0"/>
    <col customWidth="1" min="4" max="4" width="46.0"/>
    <col customWidth="1" min="5" max="5" width="58.0"/>
    <col customWidth="1" min="6" max="7" width="14.0"/>
    <col customWidth="1" min="8" max="26" width="8.71"/>
  </cols>
  <sheetData>
    <row r="1" ht="33.75" customHeight="1">
      <c r="A1" s="1" t="s">
        <v>613</v>
      </c>
      <c r="B1" s="2"/>
      <c r="C1" s="2"/>
      <c r="D1" s="2"/>
      <c r="E1" s="2"/>
      <c r="F1" s="2"/>
      <c r="G1" s="3"/>
    </row>
    <row r="2" ht="19.5" customHeight="1">
      <c r="A2" s="5" t="s">
        <v>617</v>
      </c>
      <c r="B2" s="2"/>
      <c r="C2" s="2"/>
      <c r="D2" s="2"/>
      <c r="E2" s="2"/>
      <c r="F2" s="2"/>
      <c r="G2" s="3"/>
    </row>
    <row r="3" ht="25.5" customHeight="1">
      <c r="A3" s="12" t="s">
        <v>9</v>
      </c>
      <c r="B3" s="12" t="s">
        <v>10</v>
      </c>
      <c r="C3" s="12" t="s">
        <v>12</v>
      </c>
      <c r="D3" s="12" t="s">
        <v>13</v>
      </c>
      <c r="E3" s="12" t="s">
        <v>15</v>
      </c>
      <c r="F3" s="6" t="s">
        <v>628</v>
      </c>
      <c r="G3" s="12" t="s">
        <v>18</v>
      </c>
    </row>
    <row r="4" ht="27.75" customHeight="1">
      <c r="A4" s="17" t="s">
        <v>630</v>
      </c>
      <c r="B4" s="17" t="s">
        <v>632</v>
      </c>
      <c r="C4" s="17" t="s">
        <v>633</v>
      </c>
      <c r="D4" s="17" t="s">
        <v>634</v>
      </c>
      <c r="E4" s="17" t="s">
        <v>635</v>
      </c>
    </row>
    <row r="5" ht="31.5" customHeight="1">
      <c r="A5" s="64" t="s">
        <v>636</v>
      </c>
      <c r="B5" s="36" t="s">
        <v>33</v>
      </c>
      <c r="C5" s="65" t="s">
        <v>639</v>
      </c>
      <c r="D5" s="65" t="s">
        <v>640</v>
      </c>
      <c r="E5" s="66" t="s">
        <v>641</v>
      </c>
    </row>
    <row r="6" ht="31.5" customHeight="1">
      <c r="A6" s="64" t="s">
        <v>643</v>
      </c>
      <c r="B6" s="41" t="s">
        <v>644</v>
      </c>
      <c r="C6" s="65" t="s">
        <v>645</v>
      </c>
      <c r="D6" s="65" t="s">
        <v>646</v>
      </c>
      <c r="E6" s="66" t="s">
        <v>647</v>
      </c>
    </row>
    <row r="7" ht="31.5" customHeight="1">
      <c r="A7" s="64" t="s">
        <v>648</v>
      </c>
      <c r="B7" s="41" t="s">
        <v>644</v>
      </c>
      <c r="C7" s="65" t="s">
        <v>649</v>
      </c>
      <c r="D7" s="65" t="s">
        <v>650</v>
      </c>
      <c r="E7" s="66" t="s">
        <v>651</v>
      </c>
    </row>
    <row r="8" ht="31.5" customHeight="1">
      <c r="A8" s="64" t="s">
        <v>652</v>
      </c>
      <c r="B8" s="41" t="s">
        <v>644</v>
      </c>
      <c r="C8" s="65" t="s">
        <v>653</v>
      </c>
      <c r="D8" s="65" t="s">
        <v>654</v>
      </c>
      <c r="E8" s="66" t="s">
        <v>655</v>
      </c>
    </row>
    <row r="9" ht="31.5" customHeight="1">
      <c r="A9" s="64" t="s">
        <v>656</v>
      </c>
      <c r="B9" s="41" t="s">
        <v>42</v>
      </c>
      <c r="C9" s="65" t="s">
        <v>657</v>
      </c>
      <c r="D9" s="65" t="s">
        <v>658</v>
      </c>
      <c r="E9" s="66" t="s">
        <v>660</v>
      </c>
    </row>
    <row r="10" ht="31.5" customHeight="1">
      <c r="A10" s="64" t="s">
        <v>661</v>
      </c>
      <c r="B10" s="41" t="s">
        <v>42</v>
      </c>
      <c r="C10" s="65" t="s">
        <v>664</v>
      </c>
      <c r="D10" s="65" t="s">
        <v>665</v>
      </c>
      <c r="E10" s="66" t="s">
        <v>666</v>
      </c>
    </row>
    <row r="11" ht="31.5" customHeight="1">
      <c r="A11" s="64" t="s">
        <v>667</v>
      </c>
      <c r="B11" s="42" t="s">
        <v>58</v>
      </c>
      <c r="C11" s="65" t="s">
        <v>668</v>
      </c>
      <c r="D11" s="65" t="s">
        <v>669</v>
      </c>
      <c r="E11" s="66" t="s">
        <v>670</v>
      </c>
    </row>
    <row r="12" ht="31.5" customHeight="1">
      <c r="A12" s="64" t="s">
        <v>671</v>
      </c>
      <c r="B12" s="36" t="s">
        <v>33</v>
      </c>
      <c r="C12" s="65" t="s">
        <v>672</v>
      </c>
      <c r="D12" s="65" t="s">
        <v>673</v>
      </c>
      <c r="E12" s="66" t="s">
        <v>674</v>
      </c>
    </row>
    <row r="13" ht="31.5" customHeight="1">
      <c r="A13" s="64" t="s">
        <v>675</v>
      </c>
      <c r="B13" s="41" t="s">
        <v>42</v>
      </c>
      <c r="C13" s="65" t="s">
        <v>676</v>
      </c>
      <c r="D13" s="65" t="s">
        <v>677</v>
      </c>
      <c r="E13" s="66" t="s">
        <v>678</v>
      </c>
    </row>
    <row r="14" ht="31.5" customHeight="1">
      <c r="A14" s="64" t="s">
        <v>679</v>
      </c>
      <c r="B14" s="41" t="s">
        <v>42</v>
      </c>
      <c r="C14" s="65" t="s">
        <v>680</v>
      </c>
      <c r="D14" s="65" t="s">
        <v>681</v>
      </c>
      <c r="E14" s="66" t="s">
        <v>682</v>
      </c>
    </row>
    <row r="15" ht="31.5" customHeight="1">
      <c r="A15" s="64" t="s">
        <v>683</v>
      </c>
      <c r="B15" s="41" t="s">
        <v>42</v>
      </c>
      <c r="C15" s="65" t="s">
        <v>686</v>
      </c>
      <c r="D15" s="65" t="s">
        <v>687</v>
      </c>
      <c r="E15" s="66" t="s">
        <v>688</v>
      </c>
    </row>
    <row r="16" ht="31.5" customHeight="1">
      <c r="A16" s="64" t="s">
        <v>689</v>
      </c>
      <c r="B16" s="41" t="s">
        <v>644</v>
      </c>
      <c r="C16" s="65" t="s">
        <v>690</v>
      </c>
      <c r="D16" s="65" t="s">
        <v>691</v>
      </c>
      <c r="E16" s="66" t="s">
        <v>692</v>
      </c>
    </row>
    <row r="17" ht="31.5" customHeight="1">
      <c r="A17" s="64" t="s">
        <v>693</v>
      </c>
      <c r="B17" s="41" t="s">
        <v>42</v>
      </c>
      <c r="C17" s="65" t="s">
        <v>694</v>
      </c>
      <c r="D17" s="65" t="s">
        <v>695</v>
      </c>
      <c r="E17" s="66" t="s">
        <v>696</v>
      </c>
    </row>
    <row r="18" ht="31.5" customHeight="1">
      <c r="A18" s="64" t="s">
        <v>697</v>
      </c>
      <c r="B18" s="41" t="s">
        <v>644</v>
      </c>
      <c r="C18" s="65" t="s">
        <v>698</v>
      </c>
      <c r="D18" s="65" t="s">
        <v>699</v>
      </c>
      <c r="E18" s="66" t="s">
        <v>700</v>
      </c>
    </row>
    <row r="19" ht="31.5" customHeight="1">
      <c r="A19" s="64" t="s">
        <v>701</v>
      </c>
      <c r="B19" s="41" t="s">
        <v>42</v>
      </c>
      <c r="C19" s="65" t="s">
        <v>703</v>
      </c>
      <c r="D19" s="65" t="s">
        <v>704</v>
      </c>
      <c r="E19" s="66" t="s">
        <v>705</v>
      </c>
    </row>
    <row r="20" ht="31.5" customHeight="1">
      <c r="A20" s="64" t="s">
        <v>706</v>
      </c>
      <c r="B20" s="41" t="s">
        <v>42</v>
      </c>
      <c r="C20" s="65" t="s">
        <v>708</v>
      </c>
      <c r="D20" s="65" t="s">
        <v>709</v>
      </c>
      <c r="E20" s="66" t="s">
        <v>710</v>
      </c>
    </row>
    <row r="21" ht="31.5" customHeight="1">
      <c r="A21" s="64" t="s">
        <v>711</v>
      </c>
      <c r="B21" s="41" t="s">
        <v>42</v>
      </c>
      <c r="C21" s="65" t="s">
        <v>712</v>
      </c>
      <c r="D21" s="65" t="s">
        <v>713</v>
      </c>
      <c r="E21" s="66" t="s">
        <v>714</v>
      </c>
    </row>
    <row r="22" ht="31.5" customHeight="1">
      <c r="A22" s="64" t="s">
        <v>715</v>
      </c>
      <c r="B22" s="41" t="s">
        <v>42</v>
      </c>
      <c r="C22" s="65" t="s">
        <v>716</v>
      </c>
      <c r="D22" s="65" t="s">
        <v>717</v>
      </c>
      <c r="E22" s="66" t="s">
        <v>718</v>
      </c>
    </row>
    <row r="23" ht="31.5" customHeight="1">
      <c r="A23" s="64" t="s">
        <v>719</v>
      </c>
      <c r="B23" s="41" t="s">
        <v>42</v>
      </c>
      <c r="C23" s="65" t="s">
        <v>720</v>
      </c>
      <c r="D23" s="65" t="s">
        <v>721</v>
      </c>
      <c r="E23" s="66" t="s">
        <v>722</v>
      </c>
    </row>
    <row r="24" ht="31.5" customHeight="1">
      <c r="A24" s="64" t="s">
        <v>723</v>
      </c>
      <c r="B24" s="41" t="s">
        <v>42</v>
      </c>
      <c r="C24" s="65" t="s">
        <v>724</v>
      </c>
      <c r="D24" s="65" t="s">
        <v>725</v>
      </c>
      <c r="E24" s="66" t="s">
        <v>726</v>
      </c>
    </row>
    <row r="25" ht="31.5" customHeight="1">
      <c r="A25" s="64" t="s">
        <v>727</v>
      </c>
      <c r="B25" s="41" t="s">
        <v>42</v>
      </c>
      <c r="C25" s="65" t="s">
        <v>728</v>
      </c>
      <c r="D25" s="65" t="s">
        <v>729</v>
      </c>
      <c r="E25" s="66" t="s">
        <v>730</v>
      </c>
    </row>
    <row r="26" ht="31.5" customHeight="1">
      <c r="A26" s="64" t="s">
        <v>732</v>
      </c>
      <c r="B26" s="41" t="s">
        <v>42</v>
      </c>
      <c r="C26" s="65" t="s">
        <v>733</v>
      </c>
      <c r="D26" s="65" t="s">
        <v>734</v>
      </c>
      <c r="E26" s="66" t="s">
        <v>735</v>
      </c>
    </row>
    <row r="27" ht="31.5" customHeight="1">
      <c r="A27" s="64" t="s">
        <v>736</v>
      </c>
      <c r="B27" s="41" t="s">
        <v>644</v>
      </c>
      <c r="C27" s="65" t="s">
        <v>737</v>
      </c>
      <c r="D27" s="65" t="s">
        <v>738</v>
      </c>
      <c r="E27" s="66" t="s">
        <v>739</v>
      </c>
    </row>
    <row r="28" ht="31.5" customHeight="1">
      <c r="A28" s="64" t="s">
        <v>740</v>
      </c>
      <c r="B28" s="41" t="s">
        <v>42</v>
      </c>
      <c r="C28" s="65" t="s">
        <v>741</v>
      </c>
      <c r="D28" s="65" t="s">
        <v>742</v>
      </c>
      <c r="E28" s="66" t="s">
        <v>743</v>
      </c>
    </row>
    <row r="29" ht="31.5" customHeight="1">
      <c r="A29" s="64" t="s">
        <v>744</v>
      </c>
      <c r="B29" s="42" t="s">
        <v>58</v>
      </c>
      <c r="C29" s="65" t="s">
        <v>745</v>
      </c>
      <c r="D29" s="65" t="s">
        <v>747</v>
      </c>
      <c r="E29" s="66" t="s">
        <v>748</v>
      </c>
    </row>
    <row r="30" ht="31.5" customHeight="1">
      <c r="A30" s="64" t="s">
        <v>749</v>
      </c>
      <c r="B30" s="42" t="s">
        <v>58</v>
      </c>
      <c r="C30" s="65" t="s">
        <v>751</v>
      </c>
      <c r="D30" s="65" t="s">
        <v>752</v>
      </c>
      <c r="E30" s="66" t="s">
        <v>753</v>
      </c>
    </row>
    <row r="31" ht="31.5" customHeight="1">
      <c r="A31" s="64" t="s">
        <v>182</v>
      </c>
      <c r="B31" s="42" t="s">
        <v>58</v>
      </c>
      <c r="C31" s="65" t="s">
        <v>755</v>
      </c>
      <c r="D31" s="65" t="s">
        <v>756</v>
      </c>
      <c r="E31" s="66" t="s">
        <v>757</v>
      </c>
    </row>
    <row r="32" ht="31.5" customHeight="1">
      <c r="A32" s="64" t="s">
        <v>758</v>
      </c>
      <c r="B32" s="42" t="s">
        <v>58</v>
      </c>
      <c r="C32" s="65" t="s">
        <v>759</v>
      </c>
      <c r="D32" s="65" t="s">
        <v>760</v>
      </c>
      <c r="E32" s="66" t="s">
        <v>761</v>
      </c>
    </row>
    <row r="33" ht="31.5" customHeight="1">
      <c r="A33" s="64" t="s">
        <v>762</v>
      </c>
      <c r="B33" s="42" t="s">
        <v>58</v>
      </c>
      <c r="C33" s="65" t="s">
        <v>763</v>
      </c>
      <c r="D33" s="65" t="s">
        <v>764</v>
      </c>
      <c r="E33" s="66" t="s">
        <v>765</v>
      </c>
    </row>
    <row r="34" ht="31.5" customHeight="1">
      <c r="A34" s="64" t="s">
        <v>766</v>
      </c>
      <c r="B34" s="42" t="s">
        <v>58</v>
      </c>
      <c r="C34" s="65" t="s">
        <v>767</v>
      </c>
      <c r="D34" s="65" t="s">
        <v>768</v>
      </c>
      <c r="E34" s="66" t="s">
        <v>769</v>
      </c>
    </row>
    <row r="35" ht="31.5" customHeight="1">
      <c r="A35" s="64" t="s">
        <v>770</v>
      </c>
      <c r="B35" s="42" t="s">
        <v>58</v>
      </c>
      <c r="C35" s="65" t="s">
        <v>771</v>
      </c>
      <c r="D35" s="65" t="s">
        <v>772</v>
      </c>
      <c r="E35" s="66" t="s">
        <v>773</v>
      </c>
    </row>
    <row r="36" ht="31.5" customHeight="1">
      <c r="A36" s="64" t="s">
        <v>774</v>
      </c>
      <c r="B36" s="42" t="s">
        <v>58</v>
      </c>
      <c r="C36" s="65" t="s">
        <v>775</v>
      </c>
      <c r="D36" s="65" t="s">
        <v>776</v>
      </c>
      <c r="E36" s="66" t="s">
        <v>777</v>
      </c>
    </row>
    <row r="37" ht="31.5" customHeight="1">
      <c r="A37" s="64" t="s">
        <v>778</v>
      </c>
      <c r="B37" s="43" t="s">
        <v>56</v>
      </c>
      <c r="C37" s="65" t="s">
        <v>779</v>
      </c>
      <c r="D37" s="65" t="s">
        <v>780</v>
      </c>
      <c r="E37" s="66" t="s">
        <v>781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37"/>
  <mergeCells count="2">
    <mergeCell ref="A1:G1"/>
    <mergeCell ref="A2:G2"/>
  </mergeCells>
  <hyperlinks>
    <hyperlink display="Legend" location="Legend!A1" ref="A3"/>
    <hyperlink display="Core 0–5" location="'Core Syllabus'!A1" ref="B3"/>
    <hyperlink display="Advanced" location="'Advanced Web'!A1" ref="C3"/>
    <hyperlink display="Branches" location="'Role Branches'!A1" ref="D3"/>
    <hyperlink display="Drills" location="'Interview Drills'!A1" ref="E3"/>
    <hyperlink display="Dashboard" location="Dashboard!A1" ref="G3"/>
  </hyperlink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showGridLines="0" workbookViewId="0"/>
  </sheetViews>
  <sheetFormatPr customHeight="1" defaultColWidth="14.43" defaultRowHeight="15.0"/>
  <cols>
    <col customWidth="1" min="1" max="1" width="50.0"/>
    <col customWidth="1" min="2" max="4" width="11.0"/>
    <col customWidth="1" min="5" max="5" width="13.0"/>
    <col customWidth="1" min="6" max="7" width="11.0"/>
    <col customWidth="1" min="8" max="26" width="8.71"/>
  </cols>
  <sheetData>
    <row r="1" ht="33.75" customHeight="1">
      <c r="A1" s="1" t="s">
        <v>835</v>
      </c>
      <c r="B1" s="2"/>
      <c r="C1" s="2"/>
      <c r="D1" s="2"/>
      <c r="E1" s="2"/>
      <c r="F1" s="2"/>
      <c r="G1" s="3"/>
    </row>
    <row r="2" ht="19.5" customHeight="1">
      <c r="A2" s="5" t="s">
        <v>839</v>
      </c>
      <c r="B2" s="2"/>
      <c r="C2" s="2"/>
      <c r="D2" s="2"/>
      <c r="E2" s="2"/>
      <c r="F2" s="2"/>
      <c r="G2" s="3"/>
    </row>
    <row r="3" ht="25.5" customHeight="1">
      <c r="A3" s="12" t="s">
        <v>9</v>
      </c>
      <c r="B3" s="12" t="s">
        <v>10</v>
      </c>
      <c r="C3" s="12" t="s">
        <v>12</v>
      </c>
      <c r="D3" s="12" t="s">
        <v>13</v>
      </c>
      <c r="E3" s="12" t="s">
        <v>15</v>
      </c>
      <c r="F3" s="12" t="s">
        <v>17</v>
      </c>
      <c r="G3" s="6" t="s">
        <v>851</v>
      </c>
    </row>
    <row r="5" ht="24.0" customHeight="1">
      <c r="A5" s="22" t="s">
        <v>852</v>
      </c>
      <c r="B5" s="2"/>
      <c r="C5" s="2"/>
      <c r="D5" s="2"/>
      <c r="E5" s="2"/>
      <c r="F5" s="2"/>
      <c r="G5" s="3"/>
    </row>
    <row r="6" ht="19.5" customHeight="1">
      <c r="A6" s="67" t="s">
        <v>853</v>
      </c>
      <c r="B6" s="28"/>
      <c r="C6" s="28"/>
      <c r="D6" s="68">
        <f>COUNTA('Core Syllabus'!$B$5:$B$1135)</f>
        <v>1131</v>
      </c>
    </row>
    <row r="7" ht="19.5" customHeight="1">
      <c r="A7" s="67" t="s">
        <v>860</v>
      </c>
      <c r="B7" s="28"/>
      <c r="C7" s="28"/>
      <c r="D7" s="68">
        <f>COUNTIF('Core Syllabus'!$I$5:$I$1135,"&lt;&gt;")</f>
        <v>0</v>
      </c>
    </row>
    <row r="8" ht="19.5" customHeight="1">
      <c r="A8" s="67" t="s">
        <v>107</v>
      </c>
      <c r="B8" s="28"/>
      <c r="C8" s="28"/>
      <c r="D8" s="68">
        <f>COUNTIF('Core Syllabus'!$I$5:$I$1135,"Solid")</f>
        <v>0</v>
      </c>
    </row>
    <row r="9" ht="19.5" customHeight="1">
      <c r="A9" s="67" t="s">
        <v>866</v>
      </c>
      <c r="B9" s="28"/>
      <c r="C9" s="28"/>
      <c r="D9" s="69">
        <f>IFERROR(AVERAGE('Core Syllabus'!$J$5:$J$1135),0)</f>
        <v>0</v>
      </c>
    </row>
    <row r="10" ht="19.5" customHeight="1">
      <c r="A10" s="67" t="s">
        <v>872</v>
      </c>
      <c r="B10" s="28"/>
      <c r="C10" s="28"/>
      <c r="D10" s="70">
        <f>IFERROR(COUNTIF('Core Syllabus'!$I$5:$I$1135,"Solid")/COUNTA('Core Syllabus'!$B$5:$B$1135),0)</f>
        <v>0</v>
      </c>
    </row>
    <row r="12" ht="24.0" customHeight="1">
      <c r="A12" s="22" t="s">
        <v>878</v>
      </c>
      <c r="B12" s="2"/>
      <c r="C12" s="2"/>
      <c r="D12" s="2"/>
      <c r="E12" s="2"/>
      <c r="F12" s="2"/>
      <c r="G12" s="3"/>
    </row>
    <row r="13" ht="27.75" customHeight="1">
      <c r="A13" s="17" t="s">
        <v>20</v>
      </c>
      <c r="B13" s="17" t="s">
        <v>880</v>
      </c>
      <c r="C13" s="17" t="s">
        <v>49</v>
      </c>
      <c r="D13" s="17" t="s">
        <v>881</v>
      </c>
      <c r="E13" s="17" t="s">
        <v>107</v>
      </c>
      <c r="F13" s="17" t="s">
        <v>882</v>
      </c>
      <c r="G13" s="17" t="s">
        <v>884</v>
      </c>
    </row>
    <row r="14" ht="18.0" customHeight="1">
      <c r="A14" s="71" t="s">
        <v>30</v>
      </c>
      <c r="B14" s="40">
        <f>COUNTIF('Core Syllabus'!$B$5:$B$1135,$A14)</f>
        <v>11</v>
      </c>
      <c r="C14" s="40">
        <f>COUNTIFS('Core Syllabus'!$B$5:$B$1135,$A14,'Core Syllabus'!$G$5:$G$1135,"Core")</f>
        <v>5</v>
      </c>
      <c r="D14" s="40">
        <f>COUNTIFS('Core Syllabus'!$B$5:$B$1135,$A14,'Core Syllabus'!$I$5:$I$1135,"&lt;&gt;")</f>
        <v>0</v>
      </c>
      <c r="E14" s="40">
        <f>COUNTIFS('Core Syllabus'!$B$5:$B$1135,$A14,'Core Syllabus'!$I$5:$I$1135,"Solid")</f>
        <v>0</v>
      </c>
      <c r="F14" s="72">
        <f t="shared" ref="F14:F29" si="1">IFERROR($E14/$B14,0)</f>
        <v>0</v>
      </c>
      <c r="G14" s="73">
        <f>IFERROR(AVERAGEIF('Core Syllabus'!$B$5:$B$1135,$A14,'Core Syllabus'!$J$5:$J$1135),0)</f>
        <v>0</v>
      </c>
    </row>
    <row r="15" ht="18.0" customHeight="1">
      <c r="A15" s="71" t="s">
        <v>158</v>
      </c>
      <c r="B15" s="40">
        <f>COUNTIF('Core Syllabus'!$B$5:$B$1135,$A15)</f>
        <v>93</v>
      </c>
      <c r="C15" s="40">
        <f>COUNTIFS('Core Syllabus'!$B$5:$B$1135,$A15,'Core Syllabus'!$G$5:$G$1135,"Core")</f>
        <v>41</v>
      </c>
      <c r="D15" s="40">
        <f>COUNTIFS('Core Syllabus'!$B$5:$B$1135,$A15,'Core Syllabus'!$I$5:$I$1135,"&lt;&gt;")</f>
        <v>0</v>
      </c>
      <c r="E15" s="40">
        <f>COUNTIFS('Core Syllabus'!$B$5:$B$1135,$A15,'Core Syllabus'!$I$5:$I$1135,"Solid")</f>
        <v>0</v>
      </c>
      <c r="F15" s="72">
        <f t="shared" si="1"/>
        <v>0</v>
      </c>
      <c r="G15" s="73">
        <f>IFERROR(AVERAGEIF('Core Syllabus'!$B$5:$B$1135,$A15,'Core Syllabus'!$J$5:$J$1135),0)</f>
        <v>0</v>
      </c>
    </row>
    <row r="16" ht="18.0" customHeight="1">
      <c r="A16" s="71" t="s">
        <v>620</v>
      </c>
      <c r="B16" s="40">
        <f>COUNTIF('Core Syllabus'!$B$5:$B$1135,$A16)</f>
        <v>174</v>
      </c>
      <c r="C16" s="40">
        <f>COUNTIFS('Core Syllabus'!$B$5:$B$1135,$A16,'Core Syllabus'!$G$5:$G$1135,"Core")</f>
        <v>102</v>
      </c>
      <c r="D16" s="40">
        <f>COUNTIFS('Core Syllabus'!$B$5:$B$1135,$A16,'Core Syllabus'!$I$5:$I$1135,"&lt;&gt;")</f>
        <v>0</v>
      </c>
      <c r="E16" s="40">
        <f>COUNTIFS('Core Syllabus'!$B$5:$B$1135,$A16,'Core Syllabus'!$I$5:$I$1135,"Solid")</f>
        <v>0</v>
      </c>
      <c r="F16" s="72">
        <f t="shared" si="1"/>
        <v>0</v>
      </c>
      <c r="G16" s="73">
        <f>IFERROR(AVERAGEIF('Core Syllabus'!$B$5:$B$1135,$A16,'Core Syllabus'!$J$5:$J$1135),0)</f>
        <v>0</v>
      </c>
    </row>
    <row r="17" ht="18.0" customHeight="1">
      <c r="A17" s="71" t="s">
        <v>914</v>
      </c>
      <c r="B17" s="40">
        <f>COUNTIF('Core Syllabus'!$B$5:$B$1135,$A17)</f>
        <v>7</v>
      </c>
      <c r="C17" s="40">
        <f>COUNTIFS('Core Syllabus'!$B$5:$B$1135,$A17,'Core Syllabus'!$G$5:$G$1135,"Core")</f>
        <v>4</v>
      </c>
      <c r="D17" s="40">
        <f>COUNTIFS('Core Syllabus'!$B$5:$B$1135,$A17,'Core Syllabus'!$I$5:$I$1135,"&lt;&gt;")</f>
        <v>0</v>
      </c>
      <c r="E17" s="40">
        <f>COUNTIFS('Core Syllabus'!$B$5:$B$1135,$A17,'Core Syllabus'!$I$5:$I$1135,"Solid")</f>
        <v>0</v>
      </c>
      <c r="F17" s="72">
        <f t="shared" si="1"/>
        <v>0</v>
      </c>
      <c r="G17" s="73">
        <f>IFERROR(AVERAGEIF('Core Syllabus'!$B$5:$B$1135,$A17,'Core Syllabus'!$J$5:$J$1135),0)</f>
        <v>0</v>
      </c>
    </row>
    <row r="18" ht="18.0" customHeight="1">
      <c r="A18" s="71" t="s">
        <v>925</v>
      </c>
      <c r="B18" s="40">
        <f>COUNTIF('Core Syllabus'!$B$5:$B$1135,$A18)</f>
        <v>176</v>
      </c>
      <c r="C18" s="40">
        <f>COUNTIFS('Core Syllabus'!$B$5:$B$1135,$A18,'Core Syllabus'!$G$5:$G$1135,"Core")</f>
        <v>110</v>
      </c>
      <c r="D18" s="40">
        <f>COUNTIFS('Core Syllabus'!$B$5:$B$1135,$A18,'Core Syllabus'!$I$5:$I$1135,"&lt;&gt;")</f>
        <v>0</v>
      </c>
      <c r="E18" s="40">
        <f>COUNTIFS('Core Syllabus'!$B$5:$B$1135,$A18,'Core Syllabus'!$I$5:$I$1135,"Solid")</f>
        <v>0</v>
      </c>
      <c r="F18" s="72">
        <f t="shared" si="1"/>
        <v>0</v>
      </c>
      <c r="G18" s="73">
        <f>IFERROR(AVERAGEIF('Core Syllabus'!$B$5:$B$1135,$A18,'Core Syllabus'!$J$5:$J$1135),0)</f>
        <v>0</v>
      </c>
    </row>
    <row r="19" ht="18.0" customHeight="1">
      <c r="A19" s="71" t="s">
        <v>932</v>
      </c>
      <c r="B19" s="40">
        <f>COUNTIF('Core Syllabus'!$B$5:$B$1135,$A19)</f>
        <v>74</v>
      </c>
      <c r="C19" s="40">
        <f>COUNTIFS('Core Syllabus'!$B$5:$B$1135,$A19,'Core Syllabus'!$G$5:$G$1135,"Core")</f>
        <v>45</v>
      </c>
      <c r="D19" s="40">
        <f>COUNTIFS('Core Syllabus'!$B$5:$B$1135,$A19,'Core Syllabus'!$I$5:$I$1135,"&lt;&gt;")</f>
        <v>0</v>
      </c>
      <c r="E19" s="40">
        <f>COUNTIFS('Core Syllabus'!$B$5:$B$1135,$A19,'Core Syllabus'!$I$5:$I$1135,"Solid")</f>
        <v>0</v>
      </c>
      <c r="F19" s="72">
        <f t="shared" si="1"/>
        <v>0</v>
      </c>
      <c r="G19" s="73">
        <f>IFERROR(AVERAGEIF('Core Syllabus'!$B$5:$B$1135,$A19,'Core Syllabus'!$J$5:$J$1135),0)</f>
        <v>0</v>
      </c>
    </row>
    <row r="20" ht="18.0" customHeight="1">
      <c r="A20" s="71" t="s">
        <v>937</v>
      </c>
      <c r="B20" s="40">
        <f>COUNTIF('Core Syllabus'!$B$5:$B$1135,$A20)</f>
        <v>90</v>
      </c>
      <c r="C20" s="40">
        <f>COUNTIFS('Core Syllabus'!$B$5:$B$1135,$A20,'Core Syllabus'!$G$5:$G$1135,"Core")</f>
        <v>58</v>
      </c>
      <c r="D20" s="40">
        <f>COUNTIFS('Core Syllabus'!$B$5:$B$1135,$A20,'Core Syllabus'!$I$5:$I$1135,"&lt;&gt;")</f>
        <v>0</v>
      </c>
      <c r="E20" s="40">
        <f>COUNTIFS('Core Syllabus'!$B$5:$B$1135,$A20,'Core Syllabus'!$I$5:$I$1135,"Solid")</f>
        <v>0</v>
      </c>
      <c r="F20" s="72">
        <f t="shared" si="1"/>
        <v>0</v>
      </c>
      <c r="G20" s="73">
        <f>IFERROR(AVERAGEIF('Core Syllabus'!$B$5:$B$1135,$A20,'Core Syllabus'!$J$5:$J$1135),0)</f>
        <v>0</v>
      </c>
    </row>
    <row r="21" ht="18.0" customHeight="1">
      <c r="A21" s="71" t="s">
        <v>945</v>
      </c>
      <c r="B21" s="40">
        <f>COUNTIF('Core Syllabus'!$B$5:$B$1135,$A21)</f>
        <v>72</v>
      </c>
      <c r="C21" s="40">
        <f>COUNTIFS('Core Syllabus'!$B$5:$B$1135,$A21,'Core Syllabus'!$G$5:$G$1135,"Core")</f>
        <v>41</v>
      </c>
      <c r="D21" s="40">
        <f>COUNTIFS('Core Syllabus'!$B$5:$B$1135,$A21,'Core Syllabus'!$I$5:$I$1135,"&lt;&gt;")</f>
        <v>0</v>
      </c>
      <c r="E21" s="40">
        <f>COUNTIFS('Core Syllabus'!$B$5:$B$1135,$A21,'Core Syllabus'!$I$5:$I$1135,"Solid")</f>
        <v>0</v>
      </c>
      <c r="F21" s="72">
        <f t="shared" si="1"/>
        <v>0</v>
      </c>
      <c r="G21" s="73">
        <f>IFERROR(AVERAGEIF('Core Syllabus'!$B$5:$B$1135,$A21,'Core Syllabus'!$J$5:$J$1135),0)</f>
        <v>0</v>
      </c>
    </row>
    <row r="22" ht="18.0" customHeight="1">
      <c r="A22" s="71" t="s">
        <v>951</v>
      </c>
      <c r="B22" s="40">
        <f>COUNTIF('Core Syllabus'!$B$5:$B$1135,$A22)</f>
        <v>30</v>
      </c>
      <c r="C22" s="40">
        <f>COUNTIFS('Core Syllabus'!$B$5:$B$1135,$A22,'Core Syllabus'!$G$5:$G$1135,"Core")</f>
        <v>21</v>
      </c>
      <c r="D22" s="40">
        <f>COUNTIFS('Core Syllabus'!$B$5:$B$1135,$A22,'Core Syllabus'!$I$5:$I$1135,"&lt;&gt;")</f>
        <v>0</v>
      </c>
      <c r="E22" s="40">
        <f>COUNTIFS('Core Syllabus'!$B$5:$B$1135,$A22,'Core Syllabus'!$I$5:$I$1135,"Solid")</f>
        <v>0</v>
      </c>
      <c r="F22" s="72">
        <f t="shared" si="1"/>
        <v>0</v>
      </c>
      <c r="G22" s="73">
        <f>IFERROR(AVERAGEIF('Core Syllabus'!$B$5:$B$1135,$A22,'Core Syllabus'!$J$5:$J$1135),0)</f>
        <v>0</v>
      </c>
    </row>
    <row r="23" ht="18.0" customHeight="1">
      <c r="A23" s="71" t="s">
        <v>958</v>
      </c>
      <c r="B23" s="40">
        <f>COUNTIF('Core Syllabus'!$B$5:$B$1135,$A23)</f>
        <v>267</v>
      </c>
      <c r="C23" s="40">
        <f>COUNTIFS('Core Syllabus'!$B$5:$B$1135,$A23,'Core Syllabus'!$G$5:$G$1135,"Core")</f>
        <v>183</v>
      </c>
      <c r="D23" s="40">
        <f>COUNTIFS('Core Syllabus'!$B$5:$B$1135,$A23,'Core Syllabus'!$I$5:$I$1135,"&lt;&gt;")</f>
        <v>0</v>
      </c>
      <c r="E23" s="40">
        <f>COUNTIFS('Core Syllabus'!$B$5:$B$1135,$A23,'Core Syllabus'!$I$5:$I$1135,"Solid")</f>
        <v>0</v>
      </c>
      <c r="F23" s="72">
        <f t="shared" si="1"/>
        <v>0</v>
      </c>
      <c r="G23" s="73">
        <f>IFERROR(AVERAGEIF('Core Syllabus'!$B$5:$B$1135,$A23,'Core Syllabus'!$J$5:$J$1135),0)</f>
        <v>0</v>
      </c>
    </row>
    <row r="24" ht="18.0" customHeight="1">
      <c r="A24" s="71" t="s">
        <v>965</v>
      </c>
      <c r="B24" s="40">
        <f>COUNTIF('Core Syllabus'!$B$5:$B$1135,$A24)</f>
        <v>32</v>
      </c>
      <c r="C24" s="40">
        <f>COUNTIFS('Core Syllabus'!$B$5:$B$1135,$A24,'Core Syllabus'!$G$5:$G$1135,"Core")</f>
        <v>21</v>
      </c>
      <c r="D24" s="40">
        <f>COUNTIFS('Core Syllabus'!$B$5:$B$1135,$A24,'Core Syllabus'!$I$5:$I$1135,"&lt;&gt;")</f>
        <v>0</v>
      </c>
      <c r="E24" s="40">
        <f>COUNTIFS('Core Syllabus'!$B$5:$B$1135,$A24,'Core Syllabus'!$I$5:$I$1135,"Solid")</f>
        <v>0</v>
      </c>
      <c r="F24" s="72">
        <f t="shared" si="1"/>
        <v>0</v>
      </c>
      <c r="G24" s="73">
        <f>IFERROR(AVERAGEIF('Core Syllabus'!$B$5:$B$1135,$A24,'Core Syllabus'!$J$5:$J$1135),0)</f>
        <v>0</v>
      </c>
    </row>
    <row r="25" ht="18.0" customHeight="1">
      <c r="A25" s="71" t="s">
        <v>971</v>
      </c>
      <c r="B25" s="40">
        <f>COUNTIF('Core Syllabus'!$B$5:$B$1135,$A25)</f>
        <v>30</v>
      </c>
      <c r="C25" s="40">
        <f>COUNTIFS('Core Syllabus'!$B$5:$B$1135,$A25,'Core Syllabus'!$G$5:$G$1135,"Core")</f>
        <v>20</v>
      </c>
      <c r="D25" s="40">
        <f>COUNTIFS('Core Syllabus'!$B$5:$B$1135,$A25,'Core Syllabus'!$I$5:$I$1135,"&lt;&gt;")</f>
        <v>0</v>
      </c>
      <c r="E25" s="40">
        <f>COUNTIFS('Core Syllabus'!$B$5:$B$1135,$A25,'Core Syllabus'!$I$5:$I$1135,"Solid")</f>
        <v>0</v>
      </c>
      <c r="F25" s="72">
        <f t="shared" si="1"/>
        <v>0</v>
      </c>
      <c r="G25" s="73">
        <f>IFERROR(AVERAGEIF('Core Syllabus'!$B$5:$B$1135,$A25,'Core Syllabus'!$J$5:$J$1135),0)</f>
        <v>0</v>
      </c>
    </row>
    <row r="26" ht="18.0" customHeight="1">
      <c r="A26" s="71" t="s">
        <v>982</v>
      </c>
      <c r="B26" s="40">
        <f>COUNTIF('Core Syllabus'!$B$5:$B$1135,$A26)</f>
        <v>30</v>
      </c>
      <c r="C26" s="40">
        <f>COUNTIFS('Core Syllabus'!$B$5:$B$1135,$A26,'Core Syllabus'!$G$5:$G$1135,"Core")</f>
        <v>22</v>
      </c>
      <c r="D26" s="40">
        <f>COUNTIFS('Core Syllabus'!$B$5:$B$1135,$A26,'Core Syllabus'!$I$5:$I$1135,"&lt;&gt;")</f>
        <v>0</v>
      </c>
      <c r="E26" s="40">
        <f>COUNTIFS('Core Syllabus'!$B$5:$B$1135,$A26,'Core Syllabus'!$I$5:$I$1135,"Solid")</f>
        <v>0</v>
      </c>
      <c r="F26" s="72">
        <f t="shared" si="1"/>
        <v>0</v>
      </c>
      <c r="G26" s="73">
        <f>IFERROR(AVERAGEIF('Core Syllabus'!$B$5:$B$1135,$A26,'Core Syllabus'!$J$5:$J$1135),0)</f>
        <v>0</v>
      </c>
    </row>
    <row r="27" ht="18.0" customHeight="1">
      <c r="A27" s="71" t="s">
        <v>989</v>
      </c>
      <c r="B27" s="40">
        <f>COUNTIF('Core Syllabus'!$B$5:$B$1135,$A27)</f>
        <v>18</v>
      </c>
      <c r="C27" s="40">
        <f>COUNTIFS('Core Syllabus'!$B$5:$B$1135,$A27,'Core Syllabus'!$G$5:$G$1135,"Core")</f>
        <v>10</v>
      </c>
      <c r="D27" s="40">
        <f>COUNTIFS('Core Syllabus'!$B$5:$B$1135,$A27,'Core Syllabus'!$I$5:$I$1135,"&lt;&gt;")</f>
        <v>0</v>
      </c>
      <c r="E27" s="40">
        <f>COUNTIFS('Core Syllabus'!$B$5:$B$1135,$A27,'Core Syllabus'!$I$5:$I$1135,"Solid")</f>
        <v>0</v>
      </c>
      <c r="F27" s="72">
        <f t="shared" si="1"/>
        <v>0</v>
      </c>
      <c r="G27" s="73">
        <f>IFERROR(AVERAGEIF('Core Syllabus'!$B$5:$B$1135,$A27,'Core Syllabus'!$J$5:$J$1135),0)</f>
        <v>0</v>
      </c>
    </row>
    <row r="28" ht="18.0" customHeight="1">
      <c r="A28" s="71" t="s">
        <v>998</v>
      </c>
      <c r="B28" s="40">
        <f>COUNTIF('Core Syllabus'!$B$5:$B$1135,$A28)</f>
        <v>14</v>
      </c>
      <c r="C28" s="40">
        <f>COUNTIFS('Core Syllabus'!$B$5:$B$1135,$A28,'Core Syllabus'!$G$5:$G$1135,"Core")</f>
        <v>9</v>
      </c>
      <c r="D28" s="40">
        <f>COUNTIFS('Core Syllabus'!$B$5:$B$1135,$A28,'Core Syllabus'!$I$5:$I$1135,"&lt;&gt;")</f>
        <v>0</v>
      </c>
      <c r="E28" s="40">
        <f>COUNTIFS('Core Syllabus'!$B$5:$B$1135,$A28,'Core Syllabus'!$I$5:$I$1135,"Solid")</f>
        <v>0</v>
      </c>
      <c r="F28" s="72">
        <f t="shared" si="1"/>
        <v>0</v>
      </c>
      <c r="G28" s="73">
        <f>IFERROR(AVERAGEIF('Core Syllabus'!$B$5:$B$1135,$A28,'Core Syllabus'!$J$5:$J$1135),0)</f>
        <v>0</v>
      </c>
    </row>
    <row r="29" ht="18.0" customHeight="1">
      <c r="A29" s="71" t="s">
        <v>1010</v>
      </c>
      <c r="B29" s="40">
        <f>COUNTIF('Core Syllabus'!$B$5:$B$1135,$A29)</f>
        <v>13</v>
      </c>
      <c r="C29" s="40">
        <f>COUNTIFS('Core Syllabus'!$B$5:$B$1135,$A29,'Core Syllabus'!$G$5:$G$1135,"Core")</f>
        <v>12</v>
      </c>
      <c r="D29" s="40">
        <f>COUNTIFS('Core Syllabus'!$B$5:$B$1135,$A29,'Core Syllabus'!$I$5:$I$1135,"&lt;&gt;")</f>
        <v>0</v>
      </c>
      <c r="E29" s="40">
        <f>COUNTIFS('Core Syllabus'!$B$5:$B$1135,$A29,'Core Syllabus'!$I$5:$I$1135,"Solid")</f>
        <v>0</v>
      </c>
      <c r="F29" s="72">
        <f t="shared" si="1"/>
        <v>0</v>
      </c>
      <c r="G29" s="73">
        <f>IFERROR(AVERAGEIF('Core Syllabus'!$B$5:$B$1135,$A29,'Core Syllabus'!$J$5:$J$1135),0)</f>
        <v>0</v>
      </c>
    </row>
    <row r="30" ht="15.75" customHeight="1"/>
    <row r="31" ht="24.0" customHeight="1">
      <c r="A31" s="22" t="s">
        <v>1019</v>
      </c>
      <c r="B31" s="2"/>
      <c r="C31" s="2"/>
      <c r="D31" s="2"/>
      <c r="E31" s="2"/>
      <c r="F31" s="2"/>
      <c r="G31" s="3"/>
    </row>
    <row r="32" ht="27.75" customHeight="1">
      <c r="A32" s="17" t="s">
        <v>632</v>
      </c>
      <c r="B32" s="17" t="s">
        <v>880</v>
      </c>
      <c r="C32" s="17" t="s">
        <v>107</v>
      </c>
      <c r="D32" s="74"/>
      <c r="E32" s="17" t="s">
        <v>25</v>
      </c>
      <c r="F32" s="17" t="s">
        <v>880</v>
      </c>
      <c r="G32" s="17" t="s">
        <v>107</v>
      </c>
    </row>
    <row r="33" ht="18.0" customHeight="1">
      <c r="A33" s="36" t="s">
        <v>33</v>
      </c>
      <c r="B33" s="40">
        <f>COUNTIF('Core Syllabus'!$E$5:$E$1135,$A33)</f>
        <v>180</v>
      </c>
      <c r="C33" s="40">
        <f>COUNTIFS('Core Syllabus'!$E$5:$E$1135,$A33,'Core Syllabus'!$I$5:$I$1135,"Solid")</f>
        <v>0</v>
      </c>
      <c r="D33" s="57"/>
      <c r="E33" s="49" t="s">
        <v>49</v>
      </c>
      <c r="F33" s="40">
        <f>COUNTIF('Core Syllabus'!$G$5:$G$1135,$E33)</f>
        <v>704</v>
      </c>
      <c r="G33" s="40">
        <f>COUNTIFS('Core Syllabus'!$G$5:$G$1135,$E33,'Core Syllabus'!$I$5:$I$1135,"Solid")</f>
        <v>0</v>
      </c>
    </row>
    <row r="34" ht="18.0" customHeight="1">
      <c r="A34" s="41" t="s">
        <v>42</v>
      </c>
      <c r="B34" s="40">
        <f>COUNTIF('Core Syllabus'!$E$5:$E$1135,$A34)</f>
        <v>933</v>
      </c>
      <c r="C34" s="40">
        <f>COUNTIFS('Core Syllabus'!$E$5:$E$1135,$A34,'Core Syllabus'!$I$5:$I$1135,"Solid")</f>
        <v>0</v>
      </c>
      <c r="D34" s="57"/>
      <c r="E34" s="50" t="s">
        <v>50</v>
      </c>
      <c r="F34" s="40">
        <f>COUNTIF('Core Syllabus'!$G$5:$G$1135,$E34)</f>
        <v>353</v>
      </c>
      <c r="G34" s="40">
        <f>COUNTIFS('Core Syllabus'!$G$5:$G$1135,$E34,'Core Syllabus'!$I$5:$I$1135,"Solid")</f>
        <v>0</v>
      </c>
    </row>
    <row r="35" ht="18.0" customHeight="1">
      <c r="A35" s="42" t="s">
        <v>43</v>
      </c>
      <c r="B35" s="40">
        <f>COUNTIF('Core Syllabus'!$E$5:$E$1135,$A35)</f>
        <v>18</v>
      </c>
      <c r="C35" s="40">
        <f>COUNTIFS('Core Syllabus'!$E$5:$E$1135,$A35,'Core Syllabus'!$I$5:$I$1135,"Solid")</f>
        <v>0</v>
      </c>
      <c r="D35" s="57"/>
      <c r="E35" s="51" t="s">
        <v>47</v>
      </c>
      <c r="F35" s="40">
        <f>COUNTIF('Core Syllabus'!$G$5:$G$1135,$E35)</f>
        <v>74</v>
      </c>
      <c r="G35" s="40">
        <f>COUNTIFS('Core Syllabus'!$G$5:$G$1135,$E35,'Core Syllabus'!$I$5:$I$1135,"Solid")</f>
        <v>0</v>
      </c>
    </row>
    <row r="36" ht="15.75" customHeight="1"/>
    <row r="37" ht="24.0" customHeight="1">
      <c r="A37" s="22" t="s">
        <v>1040</v>
      </c>
      <c r="B37" s="2"/>
      <c r="C37" s="2"/>
      <c r="D37" s="2"/>
      <c r="E37" s="2"/>
      <c r="F37" s="2"/>
      <c r="G37" s="3"/>
    </row>
    <row r="38" ht="27.75" customHeight="1">
      <c r="A38" s="17" t="s">
        <v>1041</v>
      </c>
      <c r="B38" s="17" t="s">
        <v>880</v>
      </c>
    </row>
    <row r="39" ht="18.0" customHeight="1">
      <c r="A39" s="64" t="s">
        <v>1042</v>
      </c>
      <c r="B39" s="40">
        <f>COUNTA('Advanced Web'!$B$5:$B$62)</f>
        <v>58</v>
      </c>
    </row>
    <row r="40" ht="18.0" customHeight="1">
      <c r="A40" s="64" t="s">
        <v>1045</v>
      </c>
      <c r="B40" s="40">
        <f>COUNTA('Role Branches'!$B$5:$B$310)</f>
        <v>306</v>
      </c>
    </row>
    <row r="41" ht="18.0" customHeight="1">
      <c r="A41" s="64" t="s">
        <v>1047</v>
      </c>
      <c r="B41" s="40">
        <f>COUNTA('Interview Drills'!$B$5:$B$66)</f>
        <v>62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0:C10"/>
    <mergeCell ref="A12:G12"/>
    <mergeCell ref="A31:G31"/>
    <mergeCell ref="A37:G37"/>
    <mergeCell ref="A1:G1"/>
    <mergeCell ref="A2:G2"/>
    <mergeCell ref="A5:G5"/>
    <mergeCell ref="A6:C6"/>
    <mergeCell ref="A7:C7"/>
    <mergeCell ref="A8:C8"/>
    <mergeCell ref="A9:C9"/>
  </mergeCells>
  <hyperlinks>
    <hyperlink display="Legend" location="Legend!A1" ref="A3"/>
    <hyperlink display="Core 0–5" location="'Core Syllabus'!A1" ref="B3"/>
    <hyperlink display="Advanced" location="'Advanced Web'!A1" ref="C3"/>
    <hyperlink display="Branches" location="'Role Branches'!A1" ref="D3"/>
    <hyperlink display="Drills" location="'Interview Drills'!A1" ref="E3"/>
    <hyperlink display="Courses" location="'Course Map'!A1" ref="F3"/>
  </hyperlinks>
  <printOptions/>
  <pageMargins bottom="1.0" footer="0.0" header="0.0" left="0.75" right="0.75" top="1.0"/>
  <pageSetup paperSize="9" orientation="portrait"/>
  <drawing r:id="rId1"/>
</worksheet>
</file>